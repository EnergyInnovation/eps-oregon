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ED63D951-9F61-425F-A335-F1A41DB2ACE7}"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M23" i="9"/>
  <c r="L23" i="9"/>
  <c r="K23" i="9"/>
  <c r="J23" i="9"/>
  <c r="I23" i="9"/>
  <c r="H23" i="9"/>
  <c r="G23" i="9"/>
  <c r="F23" i="9"/>
  <c r="E23" i="9"/>
  <c r="D23" i="9"/>
  <c r="C23" i="9"/>
  <c r="B23" i="9"/>
  <c r="AB22" i="9"/>
  <c r="AA22" i="9"/>
  <c r="Z22" i="9"/>
  <c r="Y22" i="9"/>
  <c r="X22" i="9"/>
  <c r="W22" i="9"/>
  <c r="V22" i="9"/>
  <c r="U22" i="9"/>
  <c r="U42" i="9" s="1"/>
  <c r="T22" i="9"/>
  <c r="T42" i="9" s="1"/>
  <c r="S22" i="9"/>
  <c r="R22" i="9"/>
  <c r="Q22" i="9"/>
  <c r="P22" i="9"/>
  <c r="O22" i="9"/>
  <c r="N22" i="9"/>
  <c r="M22" i="9"/>
  <c r="L22" i="9"/>
  <c r="K22" i="9"/>
  <c r="J22" i="9"/>
  <c r="I22" i="9"/>
  <c r="H22" i="9"/>
  <c r="G22" i="9"/>
  <c r="F22" i="9"/>
  <c r="E22" i="9"/>
  <c r="D22" i="9"/>
  <c r="C22" i="9"/>
  <c r="B22" i="9"/>
  <c r="AB21" i="9"/>
  <c r="AA21" i="9"/>
  <c r="Z21" i="9"/>
  <c r="Z41" i="9" s="1"/>
  <c r="Y21" i="9"/>
  <c r="Y41" i="9" s="1"/>
  <c r="X21" i="9"/>
  <c r="W21" i="9"/>
  <c r="V21" i="9"/>
  <c r="U21" i="9"/>
  <c r="T21" i="9"/>
  <c r="S21" i="9"/>
  <c r="R21" i="9"/>
  <c r="Q21" i="9"/>
  <c r="P21" i="9"/>
  <c r="O21" i="9"/>
  <c r="N21" i="9"/>
  <c r="M21" i="9"/>
  <c r="L21" i="9"/>
  <c r="K21" i="9"/>
  <c r="J21" i="9"/>
  <c r="I21" i="9"/>
  <c r="H21" i="9"/>
  <c r="G21" i="9"/>
  <c r="F21" i="9"/>
  <c r="E21" i="9"/>
  <c r="D21" i="9"/>
  <c r="D41" i="9" s="1"/>
  <c r="C21" i="9"/>
  <c r="C41" i="9" s="1"/>
  <c r="B21" i="9"/>
  <c r="AB20" i="9"/>
  <c r="AA20" i="9"/>
  <c r="Z20" i="9"/>
  <c r="Y20" i="9"/>
  <c r="X20" i="9"/>
  <c r="W20" i="9"/>
  <c r="V20" i="9"/>
  <c r="U20" i="9"/>
  <c r="T20" i="9"/>
  <c r="S20" i="9"/>
  <c r="R20" i="9"/>
  <c r="Q20" i="9"/>
  <c r="P20" i="9"/>
  <c r="O20" i="9"/>
  <c r="N20" i="9"/>
  <c r="M20" i="9"/>
  <c r="L20" i="9"/>
  <c r="K20" i="9"/>
  <c r="J20" i="9"/>
  <c r="I20" i="9"/>
  <c r="I40" i="9" s="1"/>
  <c r="H20" i="9"/>
  <c r="G20" i="9"/>
  <c r="F20" i="9"/>
  <c r="E20" i="9"/>
  <c r="D20" i="9"/>
  <c r="C20" i="9"/>
  <c r="B20" i="9"/>
  <c r="AB19" i="9"/>
  <c r="AA19" i="9"/>
  <c r="Z19" i="9"/>
  <c r="Y19" i="9"/>
  <c r="X19" i="9"/>
  <c r="W19" i="9"/>
  <c r="V19" i="9"/>
  <c r="U19" i="9"/>
  <c r="T19" i="9"/>
  <c r="S19" i="9"/>
  <c r="R19" i="9"/>
  <c r="Q19" i="9"/>
  <c r="P19" i="9"/>
  <c r="O19" i="9"/>
  <c r="N19" i="9"/>
  <c r="N39" i="9" s="1"/>
  <c r="M19" i="9"/>
  <c r="M39" i="9" s="1"/>
  <c r="L19" i="9"/>
  <c r="K19" i="9"/>
  <c r="J19" i="9"/>
  <c r="I19" i="9"/>
  <c r="H19" i="9"/>
  <c r="G19" i="9"/>
  <c r="F19" i="9"/>
  <c r="E19" i="9"/>
  <c r="D19" i="9"/>
  <c r="C19" i="9"/>
  <c r="B19" i="9"/>
  <c r="AB18" i="9"/>
  <c r="AA18" i="9"/>
  <c r="Z18" i="9"/>
  <c r="Y18" i="9"/>
  <c r="X18" i="9"/>
  <c r="W18" i="9"/>
  <c r="V18" i="9"/>
  <c r="U18" i="9"/>
  <c r="T18" i="9"/>
  <c r="S18" i="9"/>
  <c r="S38" i="9" s="1"/>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L39" i="9" l="1"/>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M4" i="11" s="1"/>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<sst xmlns="http://schemas.openxmlformats.org/spreadsheetml/2006/main" count="5677" uniqueCount="335">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</sst>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150</v>
      </c>
    </row>
    <row r="2" spans="1:2" x14ac:dyDescent="0.25">
      <c r="A2" s="3" t="s">
        <v>2</v>
      </c>
      <c r="B2" s="4" t="str">
        <f>IFERROR(INDEX(Geography!B:B, MATCH($B$1, Geography!C:C, 0)), "")</f>
        <v>OR</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2126809</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4272371</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1.0041297040928334</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2145562</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4272371</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0.99593977950211032</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3628147</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4272371</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1.1300639386659865</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107235</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4272371</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0.18373015385869967</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235422</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4272371</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0.8533810879765994</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301567</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4272371</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1.4908503922091467</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662739</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4272371</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0.79492833660866169</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3609632</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4272371</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1.0497199552368295</v>
      </c>
    </row>
    <row r="12" spans="1:28" x14ac:dyDescent="0.25">
      <c r="A12" s="4" t="s">
        <v>319</v>
      </c>
    </row>
    <row r="13" spans="1:28" x14ac:dyDescent="0.25">
      <c r="A13" s="4" t="s">
        <v>320</v>
      </c>
      <c r="B13" s="37">
        <f>INDEX(Census_pop_2020_2025!G:G, MATCH("."&amp;About!$B$1, Census_pop_2020_2025!A:A, 0))</f>
        <v>4265324</v>
      </c>
      <c r="C13" s="37">
        <f>INDEX(Census_pop_2020_2025!H:H, MATCH("."&amp;About!$B$1, Census_pop_2020_2025!A:A, 0))</f>
        <v>4273586</v>
      </c>
      <c r="D13" s="37">
        <f>INDEX(Census_pop_2020_2025!H:H, MATCH("."&amp;About!$B$1, Census_pop_2020_2025!A:A, 0))+0.2*(INDEX(Cooper_pop_2030_2050!D:D, MATCH(About!$B$1, Cooper_pop_2030_2050!B:B, 0))-INDEX(Census_pop_2020_2025!H:H, MATCH("."&amp;About!$B$1, Census_pop_2020_2025!A:A, 0)))</f>
        <v>4331553.7638564538</v>
      </c>
      <c r="E13" s="37">
        <f>INDEX(Census_pop_2020_2025!H:H, MATCH("."&amp;About!$B$1, Census_pop_2020_2025!A:A, 0))+0.4*(INDEX(Cooper_pop_2030_2050!D:D, MATCH(About!$B$1, Cooper_pop_2030_2050!B:B, 0))-INDEX(Census_pop_2020_2025!H:H, MATCH("."&amp;About!$B$1, Census_pop_2020_2025!A:A, 0)))</f>
        <v>4389521.5277129076</v>
      </c>
      <c r="F13" s="37">
        <f>INDEX(Census_pop_2020_2025!H:H, MATCH("."&amp;About!$B$1, Census_pop_2020_2025!A:A, 0))+0.6*(INDEX(Cooper_pop_2030_2050!D:D, MATCH(About!$B$1, Cooper_pop_2030_2050!B:B, 0))-INDEX(Census_pop_2020_2025!H:H, MATCH("."&amp;About!$B$1, Census_pop_2020_2025!A:A, 0)))</f>
        <v>4447489.2915693615</v>
      </c>
      <c r="G13" s="37">
        <f>INDEX(Census_pop_2020_2025!H:H, MATCH("."&amp;About!$B$1, Census_pop_2020_2025!A:A, 0))+0.8*(INDEX(Cooper_pop_2030_2050!D:D, MATCH(About!$B$1, Cooper_pop_2030_2050!B:B, 0))-INDEX(Census_pop_2020_2025!H:H, MATCH("."&amp;About!$B$1, Census_pop_2020_2025!A:A, 0)))</f>
        <v>4505457.0554258153</v>
      </c>
      <c r="H13" s="37">
        <f>INDEX(Cooper_pop_2030_2050!D:D, MATCH(About!$B$1, Cooper_pop_2030_2050!B:B, 0))</f>
        <v>4563424.8192822691</v>
      </c>
      <c r="I13" s="37">
        <f>INDEX(Cooper_pop_2030_2050!D:D, MATCH(About!$B$1, Cooper_pop_2030_2050!B:B, 0))+0.1*(INDEX(Cooper_pop_2030_2050!E:E, MATCH(About!$B$1, Cooper_pop_2030_2050!B:B, 0))-INDEX(Cooper_pop_2030_2050!D:D, MATCH(About!$B$1, Cooper_pop_2030_2050!B:B, 0)))</f>
        <v>4592349.8168511949</v>
      </c>
      <c r="J13" s="37">
        <f>INDEX(Cooper_pop_2030_2050!D:D, MATCH(About!$B$1, Cooper_pop_2030_2050!B:B, 0))+0.2*(INDEX(Cooper_pop_2030_2050!E:E, MATCH(About!$B$1, Cooper_pop_2030_2050!B:B, 0))-INDEX(Cooper_pop_2030_2050!D:D, MATCH(About!$B$1, Cooper_pop_2030_2050!B:B, 0)))</f>
        <v>4621274.8144201208</v>
      </c>
      <c r="K13" s="37">
        <f>INDEX(Cooper_pop_2030_2050!D:D, MATCH(About!$B$1, Cooper_pop_2030_2050!B:B, 0))+0.3*(INDEX(Cooper_pop_2030_2050!E:E, MATCH(About!$B$1, Cooper_pop_2030_2050!B:B, 0))-INDEX(Cooper_pop_2030_2050!D:D, MATCH(About!$B$1, Cooper_pop_2030_2050!B:B, 0)))</f>
        <v>4650199.8119890466</v>
      </c>
      <c r="L13" s="37">
        <f>INDEX(Cooper_pop_2030_2050!D:D, MATCH(About!$B$1, Cooper_pop_2030_2050!B:B, 0))+0.4*(INDEX(Cooper_pop_2030_2050!E:E, MATCH(About!$B$1, Cooper_pop_2030_2050!B:B, 0))-INDEX(Cooper_pop_2030_2050!D:D, MATCH(About!$B$1, Cooper_pop_2030_2050!B:B, 0)))</f>
        <v>4679124.8095579725</v>
      </c>
      <c r="M13" s="37">
        <f>INDEX(Cooper_pop_2030_2050!D:D, MATCH(About!$B$1, Cooper_pop_2030_2050!B:B, 0))+0.5*(INDEX(Cooper_pop_2030_2050!E:E, MATCH(About!$B$1, Cooper_pop_2030_2050!B:B, 0))-INDEX(Cooper_pop_2030_2050!D:D, MATCH(About!$B$1, Cooper_pop_2030_2050!B:B, 0)))</f>
        <v>4708049.8071268983</v>
      </c>
      <c r="N13" s="37">
        <f>INDEX(Cooper_pop_2030_2050!D:D, MATCH(About!$B$1, Cooper_pop_2030_2050!B:B, 0))+0.6*(INDEX(Cooper_pop_2030_2050!E:E, MATCH(About!$B$1, Cooper_pop_2030_2050!B:B, 0))-INDEX(Cooper_pop_2030_2050!D:D, MATCH(About!$B$1, Cooper_pop_2030_2050!B:B, 0)))</f>
        <v>4736974.8046958251</v>
      </c>
      <c r="O13" s="37">
        <f>INDEX(Cooper_pop_2030_2050!D:D, MATCH(About!$B$1, Cooper_pop_2030_2050!B:B, 0))+0.7*(INDEX(Cooper_pop_2030_2050!E:E, MATCH(About!$B$1, Cooper_pop_2030_2050!B:B, 0))-INDEX(Cooper_pop_2030_2050!D:D, MATCH(About!$B$1, Cooper_pop_2030_2050!B:B, 0)))</f>
        <v>4765899.8022647509</v>
      </c>
      <c r="P13" s="37">
        <f>INDEX(Cooper_pop_2030_2050!D:D, MATCH(About!$B$1, Cooper_pop_2030_2050!B:B, 0))+0.8*(INDEX(Cooper_pop_2030_2050!E:E, MATCH(About!$B$1, Cooper_pop_2030_2050!B:B, 0))-INDEX(Cooper_pop_2030_2050!D:D, MATCH(About!$B$1, Cooper_pop_2030_2050!B:B, 0)))</f>
        <v>4794824.7998336768</v>
      </c>
      <c r="Q13" s="37">
        <f>INDEX(Cooper_pop_2030_2050!D:D, MATCH(About!$B$1, Cooper_pop_2030_2050!B:B, 0))+0.9*(INDEX(Cooper_pop_2030_2050!E:E, MATCH(About!$B$1, Cooper_pop_2030_2050!B:B, 0))-INDEX(Cooper_pop_2030_2050!D:D, MATCH(About!$B$1, Cooper_pop_2030_2050!B:B, 0)))</f>
        <v>4823749.7974026026</v>
      </c>
      <c r="R13" s="37">
        <f>INDEX(Cooper_pop_2030_2050!E:E, MATCH(About!$B$1, Cooper_pop_2030_2050!B:B, 0))</f>
        <v>4852674.7949715285</v>
      </c>
      <c r="S13" s="37">
        <f>INDEX(Cooper_pop_2030_2050!E:E, MATCH(About!$B$1, Cooper_pop_2030_2050!B:B, 0))+0.1*(INDEX(Cooper_pop_2030_2050!F:F, MATCH(About!$B$1, Cooper_pop_2030_2050!B:B, 0))-INDEX(Cooper_pop_2030_2050!E:E, MATCH(About!$B$1, Cooper_pop_2030_2050!B:B, 0)))</f>
        <v>4877386.4482708871</v>
      </c>
      <c r="T13" s="37">
        <f>INDEX(Cooper_pop_2030_2050!E:E, MATCH(About!$B$1, Cooper_pop_2030_2050!B:B, 0))+0.2*(INDEX(Cooper_pop_2030_2050!F:F, MATCH(About!$B$1, Cooper_pop_2030_2050!B:B, 0))-INDEX(Cooper_pop_2030_2050!E:E, MATCH(About!$B$1, Cooper_pop_2030_2050!B:B, 0)))</f>
        <v>4902098.1015702467</v>
      </c>
      <c r="U13" s="37">
        <f>INDEX(Cooper_pop_2030_2050!E:E, MATCH(About!$B$1, Cooper_pop_2030_2050!B:B, 0))+0.3*(INDEX(Cooper_pop_2030_2050!F:F, MATCH(About!$B$1, Cooper_pop_2030_2050!B:B, 0))-INDEX(Cooper_pop_2030_2050!E:E, MATCH(About!$B$1, Cooper_pop_2030_2050!B:B, 0)))</f>
        <v>4926809.7548696054</v>
      </c>
      <c r="V13" s="37">
        <f>INDEX(Cooper_pop_2030_2050!E:E, MATCH(About!$B$1, Cooper_pop_2030_2050!B:B, 0))+0.4*(INDEX(Cooper_pop_2030_2050!F:F, MATCH(About!$B$1, Cooper_pop_2030_2050!B:B, 0))-INDEX(Cooper_pop_2030_2050!E:E, MATCH(About!$B$1, Cooper_pop_2030_2050!B:B, 0)))</f>
        <v>4951521.408168965</v>
      </c>
      <c r="W13" s="37">
        <f>INDEX(Cooper_pop_2030_2050!E:E, MATCH(About!$B$1, Cooper_pop_2030_2050!B:B, 0))+0.5*(INDEX(Cooper_pop_2030_2050!F:F, MATCH(About!$B$1, Cooper_pop_2030_2050!B:B, 0))-INDEX(Cooper_pop_2030_2050!E:E, MATCH(About!$B$1, Cooper_pop_2030_2050!B:B, 0)))</f>
        <v>4976233.0614683237</v>
      </c>
      <c r="X13" s="37">
        <f>INDEX(Cooper_pop_2030_2050!E:E, MATCH(About!$B$1, Cooper_pop_2030_2050!B:B, 0))+0.6*(INDEX(Cooper_pop_2030_2050!F:F, MATCH(About!$B$1, Cooper_pop_2030_2050!B:B, 0))-INDEX(Cooper_pop_2030_2050!E:E, MATCH(About!$B$1, Cooper_pop_2030_2050!B:B, 0)))</f>
        <v>5000944.7147676824</v>
      </c>
      <c r="Y13" s="37">
        <f>INDEX(Cooper_pop_2030_2050!E:E, MATCH(About!$B$1, Cooper_pop_2030_2050!B:B, 0))+0.7*(INDEX(Cooper_pop_2030_2050!F:F, MATCH(About!$B$1, Cooper_pop_2030_2050!B:B, 0))-INDEX(Cooper_pop_2030_2050!E:E, MATCH(About!$B$1, Cooper_pop_2030_2050!B:B, 0)))</f>
        <v>5025656.368067042</v>
      </c>
      <c r="Z13" s="37">
        <f>INDEX(Cooper_pop_2030_2050!E:E, MATCH(About!$B$1, Cooper_pop_2030_2050!B:B, 0))+0.8*(INDEX(Cooper_pop_2030_2050!F:F, MATCH(About!$B$1, Cooper_pop_2030_2050!B:B, 0))-INDEX(Cooper_pop_2030_2050!E:E, MATCH(About!$B$1, Cooper_pop_2030_2050!B:B, 0)))</f>
        <v>5050368.0213664006</v>
      </c>
      <c r="AA13" s="37">
        <f>INDEX(Cooper_pop_2030_2050!E:E, MATCH(About!$B$1, Cooper_pop_2030_2050!B:B, 0))+0.9*(INDEX(Cooper_pop_2030_2050!F:F, MATCH(About!$B$1, Cooper_pop_2030_2050!B:B, 0))-INDEX(Cooper_pop_2030_2050!E:E, MATCH(About!$B$1, Cooper_pop_2030_2050!B:B, 0)))</f>
        <v>5075079.6746657602</v>
      </c>
      <c r="AB13" s="37">
        <f>INDEX(Cooper_pop_2030_2050!F:F, MATCH(About!$B$1, Cooper_pop_2030_2050!B:B, 0))</f>
        <v>5099791.3279651189</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1.2676225980569646E-2</v>
      </c>
      <c r="C15" s="39">
        <f t="shared" si="1"/>
        <v>1.2643137382335209E-2</v>
      </c>
      <c r="D15" s="39">
        <f t="shared" si="1"/>
        <v>1.2758136477072491E-2</v>
      </c>
      <c r="E15" s="39">
        <f t="shared" si="1"/>
        <v>1.2873610999213574E-2</v>
      </c>
      <c r="F15" s="39">
        <f t="shared" si="1"/>
        <v>1.2989740170513952E-2</v>
      </c>
      <c r="G15" s="39">
        <f t="shared" si="1"/>
        <v>1.3106639616450994E-2</v>
      </c>
      <c r="H15" s="39">
        <f t="shared" si="1"/>
        <v>1.3224498432043813E-2</v>
      </c>
      <c r="I15" s="39">
        <f t="shared" si="1"/>
        <v>1.3259685788473568E-2</v>
      </c>
      <c r="J15" s="39">
        <f t="shared" si="1"/>
        <v>1.3296906907949312E-2</v>
      </c>
      <c r="K15" s="39">
        <f t="shared" si="1"/>
        <v>1.333574891772873E-2</v>
      </c>
      <c r="L15" s="39">
        <f t="shared" si="1"/>
        <v>1.3376279362920766E-2</v>
      </c>
      <c r="M15" s="39">
        <f t="shared" si="1"/>
        <v>1.3418558004360774E-2</v>
      </c>
      <c r="N15" s="39">
        <f t="shared" si="1"/>
        <v>1.3462633138095103E-2</v>
      </c>
      <c r="O15" s="39">
        <f t="shared" si="1"/>
        <v>1.3508554750663758E-2</v>
      </c>
      <c r="P15" s="39">
        <f t="shared" si="1"/>
        <v>1.3556356925738585E-2</v>
      </c>
      <c r="Q15" s="39">
        <f t="shared" si="1"/>
        <v>1.3606046871890935E-2</v>
      </c>
      <c r="R15" s="39">
        <f t="shared" si="1"/>
        <v>1.3657616182532176E-2</v>
      </c>
      <c r="S15" s="39">
        <f t="shared" si="1"/>
        <v>1.369923296320113E-2</v>
      </c>
      <c r="T15" s="39">
        <f t="shared" si="1"/>
        <v>1.3742706503954016E-2</v>
      </c>
      <c r="U15" s="39">
        <f t="shared" si="1"/>
        <v>1.3787942460550529E-2</v>
      </c>
      <c r="V15" s="39">
        <f t="shared" si="1"/>
        <v>1.3834798694781209E-2</v>
      </c>
      <c r="W15" s="39">
        <f t="shared" si="1"/>
        <v>1.3883107919116381E-2</v>
      </c>
      <c r="X15" s="39">
        <f t="shared" si="1"/>
        <v>1.3932694348281397E-2</v>
      </c>
      <c r="Y15" s="39">
        <f t="shared" si="1"/>
        <v>1.3983449703522227E-2</v>
      </c>
      <c r="Z15" s="39">
        <f t="shared" si="1"/>
        <v>1.4035203113945072E-2</v>
      </c>
      <c r="AA15" s="39">
        <f t="shared" si="1"/>
        <v>1.4087777838098071E-2</v>
      </c>
      <c r="AB15" s="39">
        <f t="shared" si="1"/>
        <v>1.4140997200719763E-2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119.78861972857459</v>
      </c>
      <c r="C48" s="37">
        <f t="shared" si="10"/>
        <v>118.57456711826362</v>
      </c>
      <c r="D48" s="37">
        <f t="shared" si="10"/>
        <v>118.73071502936273</v>
      </c>
      <c r="E48" s="37">
        <f t="shared" si="10"/>
        <v>118.87462476905547</v>
      </c>
      <c r="F48" s="37">
        <f t="shared" si="10"/>
        <v>118.98174842529532</v>
      </c>
      <c r="G48" s="37">
        <f t="shared" si="10"/>
        <v>119.05229068081213</v>
      </c>
      <c r="H48" s="37">
        <f t="shared" si="10"/>
        <v>119.08707370178362</v>
      </c>
      <c r="I48" s="37">
        <f t="shared" si="10"/>
        <v>118.40535375701081</v>
      </c>
      <c r="J48" s="37">
        <f t="shared" si="10"/>
        <v>117.64287896088315</v>
      </c>
      <c r="K48" s="37">
        <f t="shared" si="10"/>
        <v>116.90187269559132</v>
      </c>
      <c r="L48" s="37">
        <f t="shared" si="10"/>
        <v>116.088622507411</v>
      </c>
      <c r="M48" s="37">
        <f t="shared" si="10"/>
        <v>115.29678420796756</v>
      </c>
      <c r="N48" s="37">
        <f t="shared" si="10"/>
        <v>114.5399613433692</v>
      </c>
      <c r="O48" s="37">
        <f t="shared" si="10"/>
        <v>113.62848526490541</v>
      </c>
      <c r="P48" s="37">
        <f t="shared" si="10"/>
        <v>112.76463009718066</v>
      </c>
      <c r="Q48" s="37">
        <f t="shared" si="10"/>
        <v>111.82540018133936</v>
      </c>
      <c r="R48" s="37">
        <f t="shared" si="10"/>
        <v>110.87783630599448</v>
      </c>
      <c r="S48" s="37">
        <f t="shared" si="10"/>
        <v>109.79884941175403</v>
      </c>
      <c r="T48" s="37">
        <f t="shared" si="10"/>
        <v>108.72594388435478</v>
      </c>
      <c r="U48" s="37">
        <f t="shared" si="10"/>
        <v>107.65780696510953</v>
      </c>
      <c r="V48" s="37">
        <f t="shared" si="10"/>
        <v>106.59279668809569</v>
      </c>
      <c r="W48" s="37">
        <f t="shared" si="10"/>
        <v>105.54307916465052</v>
      </c>
      <c r="X48" s="37">
        <f t="shared" si="10"/>
        <v>104.60496655684511</v>
      </c>
      <c r="Y48" s="37">
        <f t="shared" si="10"/>
        <v>103.66615902354056</v>
      </c>
      <c r="Z48" s="37">
        <f t="shared" si="10"/>
        <v>102.79554076662777</v>
      </c>
      <c r="AA48" s="37">
        <f t="shared" si="10"/>
        <v>101.93576031879532</v>
      </c>
      <c r="AB48" s="37">
        <f t="shared" si="10"/>
        <v>101.07129599265312</v>
      </c>
    </row>
    <row r="49" spans="1:28" x14ac:dyDescent="0.25">
      <c r="A49" s="4" t="s">
        <v>216</v>
      </c>
      <c r="B49" s="37">
        <f t="shared" ref="B49:AB49" si="11">B29*B15*$F$5</f>
        <v>94.736181840887937</v>
      </c>
      <c r="C49" s="37">
        <f t="shared" si="11"/>
        <v>93.972629197932847</v>
      </c>
      <c r="D49" s="37">
        <f t="shared" si="11"/>
        <v>94.306423044623543</v>
      </c>
      <c r="E49" s="37">
        <f t="shared" si="11"/>
        <v>94.621498793650986</v>
      </c>
      <c r="F49" s="37">
        <f t="shared" si="11"/>
        <v>94.905824379446614</v>
      </c>
      <c r="G49" s="37">
        <f t="shared" si="11"/>
        <v>95.185566128082357</v>
      </c>
      <c r="H49" s="37">
        <f t="shared" si="11"/>
        <v>95.448816968001665</v>
      </c>
      <c r="I49" s="37">
        <f t="shared" si="11"/>
        <v>95.042491945544029</v>
      </c>
      <c r="J49" s="37">
        <f t="shared" si="11"/>
        <v>94.686867517836347</v>
      </c>
      <c r="K49" s="37">
        <f t="shared" si="11"/>
        <v>94.259535331479768</v>
      </c>
      <c r="L49" s="37">
        <f t="shared" si="11"/>
        <v>93.866591595947796</v>
      </c>
      <c r="M49" s="37">
        <f t="shared" si="11"/>
        <v>93.401525067994328</v>
      </c>
      <c r="N49" s="37">
        <f t="shared" si="11"/>
        <v>92.87702120633341</v>
      </c>
      <c r="O49" s="37">
        <f t="shared" si="11"/>
        <v>92.426967363207851</v>
      </c>
      <c r="P49" s="37">
        <f t="shared" si="11"/>
        <v>91.849446812191957</v>
      </c>
      <c r="Q49" s="37">
        <f t="shared" si="11"/>
        <v>91.305312780175598</v>
      </c>
      <c r="R49" s="37">
        <f t="shared" si="11"/>
        <v>90.699224546702794</v>
      </c>
      <c r="S49" s="37">
        <f t="shared" si="11"/>
        <v>90.020545752229168</v>
      </c>
      <c r="T49" s="37">
        <f t="shared" si="11"/>
        <v>89.320762164734234</v>
      </c>
      <c r="U49" s="37">
        <f t="shared" si="11"/>
        <v>88.626072253463477</v>
      </c>
      <c r="V49" s="37">
        <f t="shared" si="11"/>
        <v>87.9627506920489</v>
      </c>
      <c r="W49" s="37">
        <f t="shared" si="11"/>
        <v>87.315859562139778</v>
      </c>
      <c r="X49" s="37">
        <f t="shared" si="11"/>
        <v>86.656397734174973</v>
      </c>
      <c r="Y49" s="37">
        <f t="shared" si="11"/>
        <v>86.052917499207112</v>
      </c>
      <c r="Z49" s="37">
        <f t="shared" si="11"/>
        <v>85.434862882010535</v>
      </c>
      <c r="AA49" s="37">
        <f t="shared" si="11"/>
        <v>84.856937883480654</v>
      </c>
      <c r="AB49" s="37">
        <f t="shared" si="11"/>
        <v>84.360653987808547</v>
      </c>
    </row>
    <row r="50" spans="1:28" x14ac:dyDescent="0.25">
      <c r="A50" s="4" t="s">
        <v>217</v>
      </c>
      <c r="B50" s="37">
        <f t="shared" ref="B50:AB50" si="12">B30*B15*$F$6</f>
        <v>141.21531627824518</v>
      </c>
      <c r="C50" s="37">
        <f t="shared" si="12"/>
        <v>139.91801267290197</v>
      </c>
      <c r="D50" s="37">
        <f t="shared" si="12"/>
        <v>140.26795437475394</v>
      </c>
      <c r="E50" s="37">
        <f t="shared" si="12"/>
        <v>140.57735830968994</v>
      </c>
      <c r="F50" s="37">
        <f t="shared" si="12"/>
        <v>140.86195766989493</v>
      </c>
      <c r="G50" s="37">
        <f t="shared" si="12"/>
        <v>141.13726636544317</v>
      </c>
      <c r="H50" s="37">
        <f t="shared" si="12"/>
        <v>141.34535324850725</v>
      </c>
      <c r="I50" s="37">
        <f t="shared" si="12"/>
        <v>140.67254031442982</v>
      </c>
      <c r="J50" s="37">
        <f t="shared" si="12"/>
        <v>139.94044404489327</v>
      </c>
      <c r="K50" s="37">
        <f t="shared" si="12"/>
        <v>139.15867877686759</v>
      </c>
      <c r="L50" s="37">
        <f t="shared" si="12"/>
        <v>138.31186611526297</v>
      </c>
      <c r="M50" s="37">
        <f t="shared" si="12"/>
        <v>137.39945012572062</v>
      </c>
      <c r="N50" s="37">
        <f t="shared" si="12"/>
        <v>136.42067606410674</v>
      </c>
      <c r="O50" s="37">
        <f t="shared" si="12"/>
        <v>135.32892865570716</v>
      </c>
      <c r="P50" s="37">
        <f t="shared" si="12"/>
        <v>134.18393933870627</v>
      </c>
      <c r="Q50" s="37">
        <f t="shared" si="12"/>
        <v>132.96907883246934</v>
      </c>
      <c r="R50" s="37">
        <f t="shared" si="12"/>
        <v>131.68271340132799</v>
      </c>
      <c r="S50" s="37">
        <f t="shared" si="12"/>
        <v>130.24173005549133</v>
      </c>
      <c r="T50" s="37">
        <f t="shared" si="12"/>
        <v>128.80695660800953</v>
      </c>
      <c r="U50" s="37">
        <f t="shared" si="12"/>
        <v>127.376772403095</v>
      </c>
      <c r="V50" s="37">
        <f t="shared" si="12"/>
        <v>125.96480663431352</v>
      </c>
      <c r="W50" s="37">
        <f t="shared" si="12"/>
        <v>124.60044655028476</v>
      </c>
      <c r="X50" s="37">
        <f t="shared" si="12"/>
        <v>123.29780642029091</v>
      </c>
      <c r="Y50" s="37">
        <f t="shared" si="12"/>
        <v>122.02452853982858</v>
      </c>
      <c r="Z50" s="37">
        <f t="shared" si="12"/>
        <v>120.79491535358109</v>
      </c>
      <c r="AA50" s="37">
        <f t="shared" si="12"/>
        <v>119.63947417645535</v>
      </c>
      <c r="AB50" s="37">
        <f t="shared" si="12"/>
        <v>118.52537327738075</v>
      </c>
    </row>
    <row r="51" spans="1:28" x14ac:dyDescent="0.25">
      <c r="A51" s="4" t="s">
        <v>218</v>
      </c>
      <c r="B51" s="37">
        <f t="shared" ref="B51:AB51" si="13">B31*B15*$F$7</f>
        <v>10.895085154966553</v>
      </c>
      <c r="C51" s="37">
        <f t="shared" si="13"/>
        <v>10.720301535608074</v>
      </c>
      <c r="D51" s="37">
        <f t="shared" si="13"/>
        <v>10.672479582500467</v>
      </c>
      <c r="E51" s="37">
        <f t="shared" si="13"/>
        <v>10.617699407385883</v>
      </c>
      <c r="F51" s="37">
        <f t="shared" si="13"/>
        <v>10.555962584580065</v>
      </c>
      <c r="G51" s="37">
        <f t="shared" si="13"/>
        <v>10.49202596725276</v>
      </c>
      <c r="H51" s="37">
        <f t="shared" si="13"/>
        <v>10.41872139640175</v>
      </c>
      <c r="I51" s="37">
        <f t="shared" si="13"/>
        <v>10.280781344344586</v>
      </c>
      <c r="J51" s="37">
        <f t="shared" si="13"/>
        <v>10.143513506479769</v>
      </c>
      <c r="K51" s="37">
        <f t="shared" si="13"/>
        <v>10.006531854741073</v>
      </c>
      <c r="L51" s="37">
        <f t="shared" si="13"/>
        <v>9.8747407272028411</v>
      </c>
      <c r="M51" s="37">
        <f t="shared" si="13"/>
        <v>9.7506321891107248</v>
      </c>
      <c r="N51" s="37">
        <f t="shared" si="13"/>
        <v>9.6268295321787818</v>
      </c>
      <c r="O51" s="37">
        <f t="shared" si="13"/>
        <v>9.5107513254107978</v>
      </c>
      <c r="P51" s="37">
        <f t="shared" si="13"/>
        <v>9.3949639429472924</v>
      </c>
      <c r="Q51" s="37">
        <f t="shared" si="13"/>
        <v>9.2844097903629788</v>
      </c>
      <c r="R51" s="37">
        <f t="shared" si="13"/>
        <v>9.1765683288008351</v>
      </c>
      <c r="S51" s="37">
        <f t="shared" si="13"/>
        <v>9.0610638482704093</v>
      </c>
      <c r="T51" s="37">
        <f t="shared" si="13"/>
        <v>8.9484213129603667</v>
      </c>
      <c r="U51" s="37">
        <f t="shared" si="13"/>
        <v>8.8360136343754014</v>
      </c>
      <c r="V51" s="37">
        <f t="shared" si="13"/>
        <v>8.7287805250624562</v>
      </c>
      <c r="W51" s="37">
        <f t="shared" si="13"/>
        <v>8.6189692270206884</v>
      </c>
      <c r="X51" s="37">
        <f t="shared" si="13"/>
        <v>8.5140813096938981</v>
      </c>
      <c r="Y51" s="37">
        <f t="shared" si="13"/>
        <v>8.4166381533895542</v>
      </c>
      <c r="Z51" s="37">
        <f t="shared" si="13"/>
        <v>8.3188540289189756</v>
      </c>
      <c r="AA51" s="37">
        <f t="shared" si="13"/>
        <v>8.2257749961331399</v>
      </c>
      <c r="AB51" s="37">
        <f t="shared" si="13"/>
        <v>8.1321393610935289</v>
      </c>
    </row>
    <row r="52" spans="1:28" x14ac:dyDescent="0.25">
      <c r="A52" s="4" t="s">
        <v>219</v>
      </c>
      <c r="B52" s="37">
        <f t="shared" ref="B52:AB52" si="14">B32*B15*$F$8</f>
        <v>9.3139979576314893</v>
      </c>
      <c r="C52" s="37">
        <f t="shared" si="14"/>
        <v>9.3220539852454571</v>
      </c>
      <c r="D52" s="37">
        <f t="shared" si="14"/>
        <v>9.4395079198394392</v>
      </c>
      <c r="E52" s="37">
        <f t="shared" si="14"/>
        <v>9.5688897559665609</v>
      </c>
      <c r="F52" s="37">
        <f t="shared" si="14"/>
        <v>9.6995487743407178</v>
      </c>
      <c r="G52" s="37">
        <f t="shared" si="14"/>
        <v>9.8315784121560483</v>
      </c>
      <c r="H52" s="37">
        <f t="shared" si="14"/>
        <v>9.9651290472761431</v>
      </c>
      <c r="I52" s="37">
        <f t="shared" si="14"/>
        <v>10.036906229858742</v>
      </c>
      <c r="J52" s="37">
        <f t="shared" si="14"/>
        <v>10.110470035491945</v>
      </c>
      <c r="K52" s="37">
        <f t="shared" si="14"/>
        <v>10.208286900593508</v>
      </c>
      <c r="L52" s="37">
        <f t="shared" si="14"/>
        <v>10.28497251606324</v>
      </c>
      <c r="M52" s="37">
        <f t="shared" si="14"/>
        <v>10.363284984098847</v>
      </c>
      <c r="N52" s="37">
        <f t="shared" si="14"/>
        <v>10.443279671605433</v>
      </c>
      <c r="O52" s="37">
        <f t="shared" si="14"/>
        <v>10.525013922053075</v>
      </c>
      <c r="P52" s="37">
        <f t="shared" si="14"/>
        <v>10.596964578013887</v>
      </c>
      <c r="Q52" s="37">
        <f t="shared" si="14"/>
        <v>10.682251635987301</v>
      </c>
      <c r="R52" s="37">
        <f t="shared" si="14"/>
        <v>10.746049551168861</v>
      </c>
      <c r="S52" s="37">
        <f t="shared" si="14"/>
        <v>10.813866355787864</v>
      </c>
      <c r="T52" s="37">
        <f t="shared" si="14"/>
        <v>10.895094454293163</v>
      </c>
      <c r="U52" s="37">
        <f t="shared" si="14"/>
        <v>10.954489853625271</v>
      </c>
      <c r="V52" s="37">
        <f t="shared" si="14"/>
        <v>11.027136094991709</v>
      </c>
      <c r="W52" s="37">
        <f t="shared" si="14"/>
        <v>11.101184090859819</v>
      </c>
      <c r="X52" s="37">
        <f t="shared" si="14"/>
        <v>11.164614091837507</v>
      </c>
      <c r="Y52" s="37">
        <f t="shared" si="14"/>
        <v>11.253018464923356</v>
      </c>
      <c r="Z52" s="37">
        <f t="shared" si="14"/>
        <v>11.318621173666697</v>
      </c>
      <c r="AA52" s="37">
        <f t="shared" si="14"/>
        <v>11.385064290180372</v>
      </c>
      <c r="AB52" s="37">
        <f t="shared" si="14"/>
        <v>11.45220893783684</v>
      </c>
    </row>
    <row r="53" spans="1:28" x14ac:dyDescent="0.25">
      <c r="A53" s="4" t="s">
        <v>220</v>
      </c>
      <c r="B53" s="37">
        <f t="shared" ref="B53:AB53" si="15">B33*B15*$F$9</f>
        <v>28.687705128843604</v>
      </c>
      <c r="C53" s="37">
        <f t="shared" si="15"/>
        <v>28.857859303894323</v>
      </c>
      <c r="D53" s="37">
        <f t="shared" si="15"/>
        <v>29.310548539650775</v>
      </c>
      <c r="E53" s="37">
        <f t="shared" si="15"/>
        <v>29.806151295376569</v>
      </c>
      <c r="F53" s="37">
        <f t="shared" si="15"/>
        <v>30.288047432444412</v>
      </c>
      <c r="G53" s="37">
        <f t="shared" si="15"/>
        <v>30.736481052424139</v>
      </c>
      <c r="H53" s="37">
        <f t="shared" si="15"/>
        <v>31.269177397252282</v>
      </c>
      <c r="I53" s="37">
        <f t="shared" si="15"/>
        <v>31.530291374513808</v>
      </c>
      <c r="J53" s="37">
        <f t="shared" si="15"/>
        <v>31.817036700610011</v>
      </c>
      <c r="K53" s="37">
        <f t="shared" si="15"/>
        <v>32.049149685090512</v>
      </c>
      <c r="L53" s="37">
        <f t="shared" si="15"/>
        <v>32.306090761905452</v>
      </c>
      <c r="M53" s="37">
        <f t="shared" si="15"/>
        <v>32.508226503483975</v>
      </c>
      <c r="N53" s="37">
        <f t="shared" si="15"/>
        <v>32.755499731166204</v>
      </c>
      <c r="O53" s="37">
        <f t="shared" si="15"/>
        <v>32.967926300612888</v>
      </c>
      <c r="P53" s="37">
        <f t="shared" si="15"/>
        <v>33.14522006504987</v>
      </c>
      <c r="Q53" s="37">
        <f t="shared" si="15"/>
        <v>33.286996297529775</v>
      </c>
      <c r="R53" s="37">
        <f t="shared" si="15"/>
        <v>33.433521330371676</v>
      </c>
      <c r="S53" s="37">
        <f t="shared" si="15"/>
        <v>33.535398224963025</v>
      </c>
      <c r="T53" s="37">
        <f t="shared" si="15"/>
        <v>33.559867146790594</v>
      </c>
      <c r="U53" s="37">
        <f t="shared" si="15"/>
        <v>33.629222419412727</v>
      </c>
      <c r="V53" s="37">
        <f t="shared" si="15"/>
        <v>33.661003778326624</v>
      </c>
      <c r="W53" s="37">
        <f t="shared" si="15"/>
        <v>33.695752850890813</v>
      </c>
      <c r="X53" s="37">
        <f t="shared" si="15"/>
        <v>33.774561167540078</v>
      </c>
      <c r="Y53" s="37">
        <f t="shared" si="15"/>
        <v>33.793362220866378</v>
      </c>
      <c r="Z53" s="37">
        <f t="shared" si="15"/>
        <v>33.876584280732118</v>
      </c>
      <c r="AA53" s="37">
        <f t="shared" si="15"/>
        <v>33.898469352068105</v>
      </c>
      <c r="AB53" s="37">
        <f t="shared" si="15"/>
        <v>33.984363291349467</v>
      </c>
    </row>
    <row r="54" spans="1:28" x14ac:dyDescent="0.25">
      <c r="A54" s="4" t="s">
        <v>221</v>
      </c>
      <c r="B54" s="37">
        <f t="shared" ref="B54:AB54" si="16">B34*B15*$F$10</f>
        <v>38.704571026758572</v>
      </c>
      <c r="C54" s="37">
        <f t="shared" si="16"/>
        <v>38.764347167271872</v>
      </c>
      <c r="D54" s="37">
        <f t="shared" si="16"/>
        <v>39.299491305788912</v>
      </c>
      <c r="E54" s="37">
        <f t="shared" si="16"/>
        <v>39.849631304165577</v>
      </c>
      <c r="F54" s="37">
        <f t="shared" si="16"/>
        <v>40.436273532976543</v>
      </c>
      <c r="G54" s="37">
        <f t="shared" si="16"/>
        <v>40.987713526235225</v>
      </c>
      <c r="H54" s="37">
        <f t="shared" si="16"/>
        <v>41.535000265761418</v>
      </c>
      <c r="I54" s="37">
        <f t="shared" si="16"/>
        <v>41.814163372202323</v>
      </c>
      <c r="J54" s="37">
        <f t="shared" si="16"/>
        <v>42.079520687788325</v>
      </c>
      <c r="K54" s="37">
        <f t="shared" si="16"/>
        <v>42.32965206547123</v>
      </c>
      <c r="L54" s="37">
        <f t="shared" si="16"/>
        <v>42.554000382925452</v>
      </c>
      <c r="M54" s="37">
        <f t="shared" si="16"/>
        <v>42.752502312326158</v>
      </c>
      <c r="N54" s="37">
        <f t="shared" si="16"/>
        <v>42.925034381589569</v>
      </c>
      <c r="O54" s="37">
        <f t="shared" si="16"/>
        <v>43.07145349426596</v>
      </c>
      <c r="P54" s="37">
        <f t="shared" si="16"/>
        <v>43.159210707109992</v>
      </c>
      <c r="Q54" s="37">
        <f t="shared" si="16"/>
        <v>43.220065501936212</v>
      </c>
      <c r="R54" s="37">
        <f t="shared" si="16"/>
        <v>43.221024759912993</v>
      </c>
      <c r="S54" s="37">
        <f t="shared" si="16"/>
        <v>43.189377000951517</v>
      </c>
      <c r="T54" s="37">
        <f t="shared" si="16"/>
        <v>43.11887054520728</v>
      </c>
      <c r="U54" s="37">
        <f t="shared" si="16"/>
        <v>43.00871227311346</v>
      </c>
      <c r="V54" s="37">
        <f t="shared" si="16"/>
        <v>42.901924377170388</v>
      </c>
      <c r="W54" s="37">
        <f t="shared" si="16"/>
        <v>42.742721902998973</v>
      </c>
      <c r="X54" s="37">
        <f t="shared" si="16"/>
        <v>42.640650139611495</v>
      </c>
      <c r="Y54" s="37">
        <f t="shared" si="16"/>
        <v>42.529205419647532</v>
      </c>
      <c r="Z54" s="37">
        <f t="shared" si="16"/>
        <v>42.418840489596313</v>
      </c>
      <c r="AA54" s="37">
        <f t="shared" si="16"/>
        <v>42.320166202865948</v>
      </c>
      <c r="AB54" s="37">
        <f t="shared" si="16"/>
        <v>42.243976320396683</v>
      </c>
    </row>
    <row r="55" spans="1:28" x14ac:dyDescent="0.25">
      <c r="A55" s="4" t="s">
        <v>222</v>
      </c>
      <c r="B55" s="37">
        <f t="shared" ref="B55:AB55" si="17">B35*B15*$F$11</f>
        <v>173.96901586093983</v>
      </c>
      <c r="C55" s="37">
        <f t="shared" si="17"/>
        <v>171.81612219671396</v>
      </c>
      <c r="D55" s="37">
        <f t="shared" si="17"/>
        <v>171.62450883748332</v>
      </c>
      <c r="E55" s="37">
        <f t="shared" si="17"/>
        <v>171.38057044073855</v>
      </c>
      <c r="F55" s="37">
        <f t="shared" si="17"/>
        <v>171.01756313687824</v>
      </c>
      <c r="G55" s="37">
        <f t="shared" si="17"/>
        <v>170.65796748303472</v>
      </c>
      <c r="H55" s="37">
        <f t="shared" si="17"/>
        <v>170.24909207953289</v>
      </c>
      <c r="I55" s="37">
        <f t="shared" si="17"/>
        <v>168.73951295096748</v>
      </c>
      <c r="J55" s="37">
        <f t="shared" si="17"/>
        <v>167.21718171992606</v>
      </c>
      <c r="K55" s="37">
        <f t="shared" si="17"/>
        <v>165.66181999195695</v>
      </c>
      <c r="L55" s="37">
        <f t="shared" si="17"/>
        <v>164.10122676087894</v>
      </c>
      <c r="M55" s="37">
        <f t="shared" si="17"/>
        <v>162.52113090641635</v>
      </c>
      <c r="N55" s="37">
        <f t="shared" si="17"/>
        <v>160.94928712683193</v>
      </c>
      <c r="O55" s="37">
        <f t="shared" si="17"/>
        <v>159.32872144920194</v>
      </c>
      <c r="P55" s="37">
        <f t="shared" si="17"/>
        <v>157.70105326546008</v>
      </c>
      <c r="Q55" s="37">
        <f t="shared" si="17"/>
        <v>156.06530270575539</v>
      </c>
      <c r="R55" s="37">
        <f t="shared" si="17"/>
        <v>154.43463345297278</v>
      </c>
      <c r="S55" s="37">
        <f t="shared" si="17"/>
        <v>152.63312207183085</v>
      </c>
      <c r="T55" s="37">
        <f t="shared" si="17"/>
        <v>150.86703747295783</v>
      </c>
      <c r="U55" s="37">
        <f t="shared" si="17"/>
        <v>149.16366779777493</v>
      </c>
      <c r="V55" s="37">
        <f t="shared" si="17"/>
        <v>147.4921782915518</v>
      </c>
      <c r="W55" s="37">
        <f t="shared" si="17"/>
        <v>145.92320811453345</v>
      </c>
      <c r="X55" s="37">
        <f t="shared" si="17"/>
        <v>144.38221818325013</v>
      </c>
      <c r="Y55" s="37">
        <f t="shared" si="17"/>
        <v>142.9118835324129</v>
      </c>
      <c r="Z55" s="37">
        <f t="shared" si="17"/>
        <v>141.49604686243626</v>
      </c>
      <c r="AA55" s="37">
        <f t="shared" si="17"/>
        <v>140.11839891710983</v>
      </c>
      <c r="AB55" s="37">
        <f t="shared" si="17"/>
        <v>138.7922129688834</v>
      </c>
    </row>
    <row r="57" spans="1:28" x14ac:dyDescent="0.25">
      <c r="A57" s="4" t="s">
        <v>327</v>
      </c>
    </row>
    <row r="58" spans="1:28" x14ac:dyDescent="0.25">
      <c r="A58" s="4" t="s">
        <v>215</v>
      </c>
      <c r="B58" s="37">
        <f t="shared" ref="B58:AB58" si="18">B38*B15*$F$4</f>
        <v>18995.336222346355</v>
      </c>
      <c r="C58" s="37">
        <f t="shared" si="18"/>
        <v>19290.85062121103</v>
      </c>
      <c r="D58" s="37">
        <f t="shared" si="18"/>
        <v>19811.669987903955</v>
      </c>
      <c r="E58" s="37">
        <f t="shared" si="18"/>
        <v>20338.044450198318</v>
      </c>
      <c r="F58" s="37">
        <f t="shared" si="18"/>
        <v>20871.709961433389</v>
      </c>
      <c r="G58" s="37">
        <f t="shared" si="18"/>
        <v>21413.316705532852</v>
      </c>
      <c r="H58" s="37">
        <f t="shared" si="18"/>
        <v>21961.433135754003</v>
      </c>
      <c r="I58" s="37">
        <f t="shared" si="18"/>
        <v>22373.299396772552</v>
      </c>
      <c r="J58" s="37">
        <f t="shared" si="18"/>
        <v>22783.838020904343</v>
      </c>
      <c r="K58" s="37">
        <f t="shared" si="18"/>
        <v>23192.621829259748</v>
      </c>
      <c r="L58" s="37">
        <f t="shared" si="18"/>
        <v>23597.648460321103</v>
      </c>
      <c r="M58" s="37">
        <f t="shared" si="18"/>
        <v>23998.465789323665</v>
      </c>
      <c r="N58" s="37">
        <f t="shared" si="18"/>
        <v>24392.550750293984</v>
      </c>
      <c r="O58" s="37">
        <f t="shared" si="18"/>
        <v>24778.890669919474</v>
      </c>
      <c r="P58" s="37">
        <f t="shared" si="18"/>
        <v>25154.189871808274</v>
      </c>
      <c r="Q58" s="37">
        <f t="shared" si="18"/>
        <v>25517.791236175759</v>
      </c>
      <c r="R58" s="37">
        <f t="shared" si="18"/>
        <v>25865.652966356491</v>
      </c>
      <c r="S58" s="37">
        <f t="shared" si="18"/>
        <v>26175.236858325756</v>
      </c>
      <c r="T58" s="37">
        <f t="shared" si="18"/>
        <v>26467.23973051117</v>
      </c>
      <c r="U58" s="37">
        <f t="shared" si="18"/>
        <v>26742.844421661575</v>
      </c>
      <c r="V58" s="37">
        <f t="shared" si="18"/>
        <v>26995.358560690092</v>
      </c>
      <c r="W58" s="37">
        <f t="shared" si="18"/>
        <v>27226.043815694196</v>
      </c>
      <c r="X58" s="37">
        <f t="shared" si="18"/>
        <v>27433.068688942163</v>
      </c>
      <c r="Y58" s="37">
        <f t="shared" si="18"/>
        <v>27627.44559509134</v>
      </c>
      <c r="Z58" s="37">
        <f t="shared" si="18"/>
        <v>27798.823052417923</v>
      </c>
      <c r="AA58" s="37">
        <f t="shared" si="18"/>
        <v>27948.561735100309</v>
      </c>
      <c r="AB58" s="37">
        <f t="shared" si="18"/>
        <v>28078.864093185697</v>
      </c>
    </row>
    <row r="59" spans="1:28" x14ac:dyDescent="0.25">
      <c r="A59" s="4" t="s">
        <v>216</v>
      </c>
      <c r="B59" s="37">
        <f t="shared" ref="B59:AB59" si="19">B39*B15*$F$5</f>
        <v>17703.924979577598</v>
      </c>
      <c r="C59" s="37">
        <f t="shared" si="19"/>
        <v>17932.780586415065</v>
      </c>
      <c r="D59" s="37">
        <f t="shared" si="19"/>
        <v>18372.090687176122</v>
      </c>
      <c r="E59" s="37">
        <f t="shared" si="19"/>
        <v>18825.280539870662</v>
      </c>
      <c r="F59" s="37">
        <f t="shared" si="19"/>
        <v>19297.991980449387</v>
      </c>
      <c r="G59" s="37">
        <f t="shared" si="19"/>
        <v>19791.67944004323</v>
      </c>
      <c r="H59" s="37">
        <f t="shared" si="19"/>
        <v>20308.642283828944</v>
      </c>
      <c r="I59" s="37">
        <f t="shared" si="19"/>
        <v>20716.463604238023</v>
      </c>
      <c r="J59" s="37">
        <f t="shared" si="19"/>
        <v>21141.948637753176</v>
      </c>
      <c r="K59" s="37">
        <f t="shared" si="19"/>
        <v>21579.855317717487</v>
      </c>
      <c r="L59" s="37">
        <f t="shared" si="19"/>
        <v>22029.860250645394</v>
      </c>
      <c r="M59" s="37">
        <f t="shared" si="19"/>
        <v>22490.737097589692</v>
      </c>
      <c r="N59" s="37">
        <f t="shared" si="19"/>
        <v>22957.773033997688</v>
      </c>
      <c r="O59" s="37">
        <f t="shared" si="19"/>
        <v>23426.4153737739</v>
      </c>
      <c r="P59" s="37">
        <f t="shared" si="19"/>
        <v>23895.640111234494</v>
      </c>
      <c r="Q59" s="37">
        <f t="shared" si="19"/>
        <v>24358.829195080765</v>
      </c>
      <c r="R59" s="37">
        <f t="shared" si="19"/>
        <v>24814.031953065096</v>
      </c>
      <c r="S59" s="37">
        <f t="shared" si="19"/>
        <v>25234.854633008148</v>
      </c>
      <c r="T59" s="37">
        <f t="shared" si="19"/>
        <v>25640.588252145189</v>
      </c>
      <c r="U59" s="37">
        <f t="shared" si="19"/>
        <v>26028.656249611864</v>
      </c>
      <c r="V59" s="37">
        <f t="shared" si="19"/>
        <v>26392.903681017684</v>
      </c>
      <c r="W59" s="37">
        <f t="shared" si="19"/>
        <v>26727.668060129501</v>
      </c>
      <c r="X59" s="37">
        <f t="shared" si="19"/>
        <v>27033.965363657026</v>
      </c>
      <c r="Y59" s="37">
        <f t="shared" si="19"/>
        <v>27324.036537145472</v>
      </c>
      <c r="Z59" s="37">
        <f t="shared" si="19"/>
        <v>27585.815741094149</v>
      </c>
      <c r="AA59" s="37">
        <f t="shared" si="19"/>
        <v>27814.611384668122</v>
      </c>
      <c r="AB59" s="37">
        <f t="shared" si="19"/>
        <v>28010.413004462902</v>
      </c>
    </row>
    <row r="60" spans="1:28" x14ac:dyDescent="0.25">
      <c r="A60" s="4" t="s">
        <v>217</v>
      </c>
      <c r="B60" s="37">
        <f t="shared" ref="B60:AB60" si="20">B40*B15*$F$6</f>
        <v>33580.62403239603</v>
      </c>
      <c r="C60" s="37">
        <f t="shared" si="20"/>
        <v>34053.369654545291</v>
      </c>
      <c r="D60" s="37">
        <f t="shared" si="20"/>
        <v>34921.89077347803</v>
      </c>
      <c r="E60" s="37">
        <f t="shared" si="20"/>
        <v>35804.702554592455</v>
      </c>
      <c r="F60" s="37">
        <f t="shared" si="20"/>
        <v>36709.351323079427</v>
      </c>
      <c r="G60" s="37">
        <f t="shared" si="20"/>
        <v>37636.357508438377</v>
      </c>
      <c r="H60" s="37">
        <f t="shared" si="20"/>
        <v>38587.490660245472</v>
      </c>
      <c r="I60" s="37">
        <f t="shared" si="20"/>
        <v>39310.827510242525</v>
      </c>
      <c r="J60" s="37">
        <f t="shared" si="20"/>
        <v>40045.927267267965</v>
      </c>
      <c r="K60" s="37">
        <f t="shared" si="20"/>
        <v>40785.805275011924</v>
      </c>
      <c r="L60" s="37">
        <f t="shared" si="20"/>
        <v>41528.341867795411</v>
      </c>
      <c r="M60" s="37">
        <f t="shared" si="20"/>
        <v>42271.946951199563</v>
      </c>
      <c r="N60" s="37">
        <f t="shared" si="20"/>
        <v>43008.934405325497</v>
      </c>
      <c r="O60" s="37">
        <f t="shared" si="20"/>
        <v>43734.936059264779</v>
      </c>
      <c r="P60" s="37">
        <f t="shared" si="20"/>
        <v>44444.159581355671</v>
      </c>
      <c r="Q60" s="37">
        <f t="shared" si="20"/>
        <v>45130.394187230806</v>
      </c>
      <c r="R60" s="37">
        <f t="shared" si="20"/>
        <v>45787.554938085384</v>
      </c>
      <c r="S60" s="37">
        <f t="shared" si="20"/>
        <v>46371.334923878167</v>
      </c>
      <c r="T60" s="37">
        <f t="shared" si="20"/>
        <v>46918.050420495267</v>
      </c>
      <c r="U60" s="37">
        <f t="shared" si="20"/>
        <v>47427.101277039161</v>
      </c>
      <c r="V60" s="37">
        <f t="shared" si="20"/>
        <v>47885.246861699619</v>
      </c>
      <c r="W60" s="37">
        <f t="shared" si="20"/>
        <v>48288.132740501707</v>
      </c>
      <c r="X60" s="37">
        <f t="shared" si="20"/>
        <v>48635.985647548921</v>
      </c>
      <c r="Y60" s="37">
        <f t="shared" si="20"/>
        <v>48952.93187112247</v>
      </c>
      <c r="Z60" s="37">
        <f t="shared" si="20"/>
        <v>49216.45762775925</v>
      </c>
      <c r="AA60" s="37">
        <f t="shared" si="20"/>
        <v>49422.708580275219</v>
      </c>
      <c r="AB60" s="37">
        <f t="shared" si="20"/>
        <v>49575.071104770985</v>
      </c>
    </row>
    <row r="61" spans="1:28" x14ac:dyDescent="0.25">
      <c r="A61" s="4" t="s">
        <v>218</v>
      </c>
      <c r="B61" s="37">
        <f t="shared" ref="B61:AB61" si="21">B41*B15*$F$7</f>
        <v>842.31724614917141</v>
      </c>
      <c r="C61" s="37">
        <f t="shared" si="21"/>
        <v>852.79243764949865</v>
      </c>
      <c r="D61" s="37">
        <f t="shared" si="21"/>
        <v>873.31027524153399</v>
      </c>
      <c r="E61" s="37">
        <f t="shared" si="21"/>
        <v>894.12666141194802</v>
      </c>
      <c r="F61" s="37">
        <f t="shared" si="21"/>
        <v>915.54061561073161</v>
      </c>
      <c r="G61" s="37">
        <f t="shared" si="21"/>
        <v>937.59026907868474</v>
      </c>
      <c r="H61" s="37">
        <f t="shared" si="21"/>
        <v>960.26692116546667</v>
      </c>
      <c r="I61" s="37">
        <f t="shared" si="21"/>
        <v>977.44650441561669</v>
      </c>
      <c r="J61" s="37">
        <f t="shared" si="21"/>
        <v>995.12216114665171</v>
      </c>
      <c r="K61" s="37">
        <f t="shared" si="21"/>
        <v>1013.2373058477484</v>
      </c>
      <c r="L61" s="37">
        <f t="shared" si="21"/>
        <v>1031.7998128287536</v>
      </c>
      <c r="M61" s="37">
        <f t="shared" si="21"/>
        <v>1050.763133289491</v>
      </c>
      <c r="N61" s="37">
        <f t="shared" si="21"/>
        <v>1070.1833741577605</v>
      </c>
      <c r="O61" s="37">
        <f t="shared" si="21"/>
        <v>1089.7950994199578</v>
      </c>
      <c r="P61" s="37">
        <f t="shared" si="21"/>
        <v>1109.7215840393715</v>
      </c>
      <c r="Q61" s="37">
        <f t="shared" si="21"/>
        <v>1129.7406824205141</v>
      </c>
      <c r="R61" s="37">
        <f t="shared" si="21"/>
        <v>1149.8262699830748</v>
      </c>
      <c r="S61" s="37">
        <f t="shared" si="21"/>
        <v>1168.975397951906</v>
      </c>
      <c r="T61" s="37">
        <f t="shared" si="21"/>
        <v>1187.9458534383557</v>
      </c>
      <c r="U61" s="37">
        <f t="shared" si="21"/>
        <v>1206.75170955045</v>
      </c>
      <c r="V61" s="37">
        <f t="shared" si="21"/>
        <v>1225.247280539824</v>
      </c>
      <c r="W61" s="37">
        <f t="shared" si="21"/>
        <v>1243.1976725897321</v>
      </c>
      <c r="X61" s="37">
        <f t="shared" si="21"/>
        <v>1260.5089699433588</v>
      </c>
      <c r="Y61" s="37">
        <f t="shared" si="21"/>
        <v>1277.4894654575119</v>
      </c>
      <c r="Z61" s="37">
        <f t="shared" si="21"/>
        <v>1293.7777819389955</v>
      </c>
      <c r="AA61" s="37">
        <f t="shared" si="21"/>
        <v>1309.3502885050029</v>
      </c>
      <c r="AB61" s="37">
        <f t="shared" si="21"/>
        <v>1324.057783131145</v>
      </c>
    </row>
    <row r="62" spans="1:28" x14ac:dyDescent="0.25">
      <c r="A62" s="4" t="s">
        <v>219</v>
      </c>
      <c r="B62" s="37">
        <f t="shared" ref="B62:AB62" si="22">B42*B15*$F$8</f>
        <v>1318.1632905125086</v>
      </c>
      <c r="C62" s="37">
        <f t="shared" si="22"/>
        <v>1345.6773346617872</v>
      </c>
      <c r="D62" s="37">
        <f t="shared" si="22"/>
        <v>1390.1009137131025</v>
      </c>
      <c r="E62" s="37">
        <f t="shared" si="22"/>
        <v>1437.2120858384633</v>
      </c>
      <c r="F62" s="37">
        <f t="shared" si="22"/>
        <v>1487.5006296356939</v>
      </c>
      <c r="G62" s="37">
        <f t="shared" si="22"/>
        <v>1541.0188251572372</v>
      </c>
      <c r="H62" s="37">
        <f t="shared" si="22"/>
        <v>1597.9530206013262</v>
      </c>
      <c r="I62" s="37">
        <f t="shared" si="22"/>
        <v>1647.9875833262654</v>
      </c>
      <c r="J62" s="37">
        <f t="shared" si="22"/>
        <v>1700.2383706374535</v>
      </c>
      <c r="K62" s="37">
        <f t="shared" si="22"/>
        <v>1754.391406936114</v>
      </c>
      <c r="L62" s="37">
        <f t="shared" si="22"/>
        <v>1810.9199721041293</v>
      </c>
      <c r="M62" s="37">
        <f t="shared" si="22"/>
        <v>1869.5022577005454</v>
      </c>
      <c r="N62" s="37">
        <f t="shared" si="22"/>
        <v>1929.9272743178958</v>
      </c>
      <c r="O62" s="37">
        <f t="shared" si="22"/>
        <v>1991.8790586525574</v>
      </c>
      <c r="P62" s="37">
        <f t="shared" si="22"/>
        <v>2055.197984987713</v>
      </c>
      <c r="Q62" s="37">
        <f t="shared" si="22"/>
        <v>2119.5096694399545</v>
      </c>
      <c r="R62" s="37">
        <f t="shared" si="22"/>
        <v>2184.6299152077445</v>
      </c>
      <c r="S62" s="37">
        <f t="shared" si="22"/>
        <v>2248.2554233667847</v>
      </c>
      <c r="T62" s="37">
        <f t="shared" si="22"/>
        <v>2312.2697661973612</v>
      </c>
      <c r="U62" s="37">
        <f t="shared" si="22"/>
        <v>2376.1712223203103</v>
      </c>
      <c r="V62" s="37">
        <f t="shared" si="22"/>
        <v>2440.0313103726248</v>
      </c>
      <c r="W62" s="37">
        <f t="shared" si="22"/>
        <v>2503.678363731975</v>
      </c>
      <c r="X62" s="37">
        <f t="shared" si="22"/>
        <v>2567.314305821003</v>
      </c>
      <c r="Y62" s="37">
        <f t="shared" si="22"/>
        <v>2630.7600124301257</v>
      </c>
      <c r="Z62" s="37">
        <f t="shared" si="22"/>
        <v>2694.0833642476441</v>
      </c>
      <c r="AA62" s="37">
        <f t="shared" si="22"/>
        <v>2757.2413618071992</v>
      </c>
      <c r="AB62" s="37">
        <f t="shared" si="22"/>
        <v>2820.0189604103939</v>
      </c>
    </row>
    <row r="63" spans="1:28" x14ac:dyDescent="0.25">
      <c r="A63" s="4" t="s">
        <v>220</v>
      </c>
      <c r="B63" s="37">
        <f t="shared" ref="B63:AB63" si="23">B43*B15*$F$9</f>
        <v>1264.9236939320742</v>
      </c>
      <c r="C63" s="37">
        <f t="shared" si="23"/>
        <v>1289.5184379864941</v>
      </c>
      <c r="D63" s="37">
        <f t="shared" si="23"/>
        <v>1330.5010907833298</v>
      </c>
      <c r="E63" s="37">
        <f t="shared" si="23"/>
        <v>1374.5376326286407</v>
      </c>
      <c r="F63" s="37">
        <f t="shared" si="23"/>
        <v>1419.4133226093434</v>
      </c>
      <c r="G63" s="37">
        <f t="shared" si="23"/>
        <v>1467.1833542926377</v>
      </c>
      <c r="H63" s="37">
        <f t="shared" si="23"/>
        <v>1516.5748195154097</v>
      </c>
      <c r="I63" s="37">
        <f t="shared" si="23"/>
        <v>1557.4777846544321</v>
      </c>
      <c r="J63" s="37">
        <f t="shared" si="23"/>
        <v>1599.4354966450578</v>
      </c>
      <c r="K63" s="37">
        <f t="shared" si="23"/>
        <v>1644.1889763072584</v>
      </c>
      <c r="L63" s="37">
        <f t="shared" si="23"/>
        <v>1690.1868657563559</v>
      </c>
      <c r="M63" s="37">
        <f t="shared" si="23"/>
        <v>1737.9598065948762</v>
      </c>
      <c r="N63" s="37">
        <f t="shared" si="23"/>
        <v>1786.7603263281919</v>
      </c>
      <c r="O63" s="37">
        <f t="shared" si="23"/>
        <v>1836.7384327846651</v>
      </c>
      <c r="P63" s="37">
        <f t="shared" si="23"/>
        <v>1888.3882817060971</v>
      </c>
      <c r="Q63" s="37">
        <f t="shared" si="23"/>
        <v>1941.4777511451371</v>
      </c>
      <c r="R63" s="37">
        <f t="shared" si="23"/>
        <v>1995.6472954391343</v>
      </c>
      <c r="S63" s="37">
        <f t="shared" si="23"/>
        <v>2048.5390061866419</v>
      </c>
      <c r="T63" s="37">
        <f t="shared" si="23"/>
        <v>2102.4088933259563</v>
      </c>
      <c r="U63" s="37">
        <f t="shared" si="23"/>
        <v>2156.7102788782295</v>
      </c>
      <c r="V63" s="37">
        <f t="shared" si="23"/>
        <v>2210.8184270779866</v>
      </c>
      <c r="W63" s="37">
        <f t="shared" si="23"/>
        <v>2266.0807744961799</v>
      </c>
      <c r="X63" s="37">
        <f t="shared" si="23"/>
        <v>2321.4090907276209</v>
      </c>
      <c r="Y63" s="37">
        <f t="shared" si="23"/>
        <v>2377.4599718643076</v>
      </c>
      <c r="Z63" s="37">
        <f t="shared" si="23"/>
        <v>2433.318012718109</v>
      </c>
      <c r="AA63" s="37">
        <f t="shared" si="23"/>
        <v>2489.3322066199012</v>
      </c>
      <c r="AB63" s="37">
        <f t="shared" si="23"/>
        <v>2545.8757512800007</v>
      </c>
    </row>
    <row r="64" spans="1:28" x14ac:dyDescent="0.25">
      <c r="A64" s="4" t="s">
        <v>221</v>
      </c>
      <c r="B64" s="37">
        <f t="shared" ref="B64:AB64" si="24">B44*B15*$F$10</f>
        <v>2520.0797105134216</v>
      </c>
      <c r="C64" s="37">
        <f t="shared" si="24"/>
        <v>2602.1359504099541</v>
      </c>
      <c r="D64" s="37">
        <f t="shared" si="24"/>
        <v>2716.9589218959827</v>
      </c>
      <c r="E64" s="37">
        <f t="shared" si="24"/>
        <v>2835.6686534659621</v>
      </c>
      <c r="F64" s="37">
        <f t="shared" si="24"/>
        <v>2958.3636187242714</v>
      </c>
      <c r="G64" s="37">
        <f t="shared" si="24"/>
        <v>3085.4767245839867</v>
      </c>
      <c r="H64" s="37">
        <f t="shared" si="24"/>
        <v>3218.1057495204132</v>
      </c>
      <c r="I64" s="37">
        <f t="shared" si="24"/>
        <v>3335.3093238062097</v>
      </c>
      <c r="J64" s="37">
        <f t="shared" si="24"/>
        <v>3456.1651234389037</v>
      </c>
      <c r="K64" s="37">
        <f t="shared" si="24"/>
        <v>3581.5147235199911</v>
      </c>
      <c r="L64" s="37">
        <f t="shared" si="24"/>
        <v>3712.023094872191</v>
      </c>
      <c r="M64" s="37">
        <f t="shared" si="24"/>
        <v>3846.8398643738446</v>
      </c>
      <c r="N64" s="37">
        <f t="shared" si="24"/>
        <v>3987.0197417185495</v>
      </c>
      <c r="O64" s="37">
        <f t="shared" si="24"/>
        <v>4131.9601855508909</v>
      </c>
      <c r="P64" s="37">
        <f t="shared" si="24"/>
        <v>4281.5337944647099</v>
      </c>
      <c r="Q64" s="37">
        <f t="shared" si="24"/>
        <v>4435.9837899982767</v>
      </c>
      <c r="R64" s="37">
        <f t="shared" si="24"/>
        <v>4594.4676727137148</v>
      </c>
      <c r="S64" s="37">
        <f t="shared" si="24"/>
        <v>4752.9223325313396</v>
      </c>
      <c r="T64" s="37">
        <f t="shared" si="24"/>
        <v>4915.1579613480499</v>
      </c>
      <c r="U64" s="37">
        <f t="shared" si="24"/>
        <v>5080.880915799723</v>
      </c>
      <c r="V64" s="37">
        <f t="shared" si="24"/>
        <v>5249.4425146075628</v>
      </c>
      <c r="W64" s="37">
        <f t="shared" si="24"/>
        <v>5420.1369133741237</v>
      </c>
      <c r="X64" s="37">
        <f t="shared" si="24"/>
        <v>5593.6337117948651</v>
      </c>
      <c r="Y64" s="37">
        <f t="shared" si="24"/>
        <v>5768.8210465893208</v>
      </c>
      <c r="Z64" s="37">
        <f t="shared" si="24"/>
        <v>5945.6219384399819</v>
      </c>
      <c r="AA64" s="37">
        <f t="shared" si="24"/>
        <v>6122.6944027326545</v>
      </c>
      <c r="AB64" s="37">
        <f t="shared" si="24"/>
        <v>6299.8493595572727</v>
      </c>
    </row>
    <row r="65" spans="1:28" x14ac:dyDescent="0.25">
      <c r="A65" s="4" t="s">
        <v>222</v>
      </c>
      <c r="B65" s="37">
        <f t="shared" ref="B65:AB65" si="25">B45*B15*$F$11</f>
        <v>35189.88407521051</v>
      </c>
      <c r="C65" s="37">
        <f t="shared" si="25"/>
        <v>35631.672290335446</v>
      </c>
      <c r="D65" s="37">
        <f t="shared" si="25"/>
        <v>36487.544680964835</v>
      </c>
      <c r="E65" s="37">
        <f t="shared" si="25"/>
        <v>37358.721084144949</v>
      </c>
      <c r="F65" s="37">
        <f t="shared" si="25"/>
        <v>38252.832725611122</v>
      </c>
      <c r="G65" s="37">
        <f t="shared" si="25"/>
        <v>39171.520616118221</v>
      </c>
      <c r="H65" s="37">
        <f t="shared" si="25"/>
        <v>40114.262102264729</v>
      </c>
      <c r="I65" s="37">
        <f t="shared" si="25"/>
        <v>40819.901822906468</v>
      </c>
      <c r="J65" s="37">
        <f t="shared" si="25"/>
        <v>41537.948329682717</v>
      </c>
      <c r="K65" s="37">
        <f t="shared" si="25"/>
        <v>42261.318595352255</v>
      </c>
      <c r="L65" s="37">
        <f t="shared" si="25"/>
        <v>42986.700380862916</v>
      </c>
      <c r="M65" s="37">
        <f t="shared" si="25"/>
        <v>43713.45140918182</v>
      </c>
      <c r="N65" s="37">
        <f t="shared" si="25"/>
        <v>44432.573979007626</v>
      </c>
      <c r="O65" s="37">
        <f t="shared" si="25"/>
        <v>45139.006579156332</v>
      </c>
      <c r="P65" s="37">
        <f t="shared" si="25"/>
        <v>45828.392835353734</v>
      </c>
      <c r="Q65" s="37">
        <f t="shared" si="25"/>
        <v>46492.74919123439</v>
      </c>
      <c r="R65" s="37">
        <f t="shared" si="25"/>
        <v>47126.906872633408</v>
      </c>
      <c r="S65" s="37">
        <f t="shared" si="25"/>
        <v>47684.850803622678</v>
      </c>
      <c r="T65" s="37">
        <f t="shared" si="25"/>
        <v>48203.518775908669</v>
      </c>
      <c r="U65" s="37">
        <f t="shared" si="25"/>
        <v>48681.819401077446</v>
      </c>
      <c r="V65" s="37">
        <f t="shared" si="25"/>
        <v>49107.125745704121</v>
      </c>
      <c r="W65" s="37">
        <f t="shared" si="25"/>
        <v>49475.720586552088</v>
      </c>
      <c r="X65" s="37">
        <f t="shared" si="25"/>
        <v>49785.875888931223</v>
      </c>
      <c r="Y65" s="37">
        <f t="shared" si="25"/>
        <v>50063.474250352767</v>
      </c>
      <c r="Z65" s="37">
        <f t="shared" si="25"/>
        <v>50285.078468287313</v>
      </c>
      <c r="AA65" s="37">
        <f t="shared" si="25"/>
        <v>50448.938180749261</v>
      </c>
      <c r="AB65" s="37">
        <f t="shared" si="25"/>
        <v>50557.594490740514</v>
      </c>
    </row>
    <row r="67" spans="1:28" x14ac:dyDescent="0.25">
      <c r="A67" s="4" t="s">
        <v>328</v>
      </c>
    </row>
    <row r="68" spans="1:28" x14ac:dyDescent="0.25">
      <c r="A68" s="4" t="s">
        <v>329</v>
      </c>
      <c r="B68" s="40">
        <f t="shared" ref="B68:AB68" si="26">B48+B49</f>
        <v>214.52480156946251</v>
      </c>
      <c r="C68" s="40">
        <f t="shared" si="26"/>
        <v>212.54719631619645</v>
      </c>
      <c r="D68" s="40">
        <f t="shared" si="26"/>
        <v>213.03713807398628</v>
      </c>
      <c r="E68" s="40">
        <f t="shared" si="26"/>
        <v>213.49612356270646</v>
      </c>
      <c r="F68" s="40">
        <f t="shared" si="26"/>
        <v>213.88757280474192</v>
      </c>
      <c r="G68" s="40">
        <f t="shared" si="26"/>
        <v>214.23785680889449</v>
      </c>
      <c r="H68" s="40">
        <f t="shared" si="26"/>
        <v>214.53589066978529</v>
      </c>
      <c r="I68" s="40">
        <f t="shared" si="26"/>
        <v>213.44784570255484</v>
      </c>
      <c r="J68" s="40">
        <f t="shared" si="26"/>
        <v>212.3297464787195</v>
      </c>
      <c r="K68" s="40">
        <f t="shared" si="26"/>
        <v>211.1614080270711</v>
      </c>
      <c r="L68" s="40">
        <f t="shared" si="26"/>
        <v>209.9552141033588</v>
      </c>
      <c r="M68" s="40">
        <f t="shared" si="26"/>
        <v>208.69830927596189</v>
      </c>
      <c r="N68" s="40">
        <f t="shared" si="26"/>
        <v>207.4169825497026</v>
      </c>
      <c r="O68" s="40">
        <f t="shared" si="26"/>
        <v>206.05545262811324</v>
      </c>
      <c r="P68" s="40">
        <f t="shared" si="26"/>
        <v>204.61407690937261</v>
      </c>
      <c r="Q68" s="40">
        <f t="shared" si="26"/>
        <v>203.13071296151497</v>
      </c>
      <c r="R68" s="40">
        <f t="shared" si="26"/>
        <v>201.57706085269729</v>
      </c>
      <c r="S68" s="40">
        <f t="shared" si="26"/>
        <v>199.81939516398319</v>
      </c>
      <c r="T68" s="40">
        <f t="shared" si="26"/>
        <v>198.04670604908901</v>
      </c>
      <c r="U68" s="40">
        <f t="shared" si="26"/>
        <v>196.28387921857302</v>
      </c>
      <c r="V68" s="40">
        <f t="shared" si="26"/>
        <v>194.55554738014459</v>
      </c>
      <c r="W68" s="40">
        <f t="shared" si="26"/>
        <v>192.85893872679031</v>
      </c>
      <c r="X68" s="40">
        <f t="shared" si="26"/>
        <v>191.26136429102007</v>
      </c>
      <c r="Y68" s="40">
        <f t="shared" si="26"/>
        <v>189.71907652274768</v>
      </c>
      <c r="Z68" s="40">
        <f t="shared" si="26"/>
        <v>188.23040364863829</v>
      </c>
      <c r="AA68" s="40">
        <f t="shared" si="26"/>
        <v>186.79269820227597</v>
      </c>
      <c r="AB68" s="40">
        <f t="shared" si="26"/>
        <v>185.43194998046167</v>
      </c>
    </row>
    <row r="69" spans="1:28" x14ac:dyDescent="0.25">
      <c r="A69" s="4" t="s">
        <v>330</v>
      </c>
      <c r="B69" s="40">
        <f t="shared" ref="B69:AB69" si="27">B50+B51+B52+B53</f>
        <v>190.11210451968685</v>
      </c>
      <c r="C69" s="40">
        <f t="shared" si="27"/>
        <v>188.81822749764981</v>
      </c>
      <c r="D69" s="40">
        <f t="shared" si="27"/>
        <v>189.69049041674461</v>
      </c>
      <c r="E69" s="40">
        <f t="shared" si="27"/>
        <v>190.57009876841894</v>
      </c>
      <c r="F69" s="40">
        <f t="shared" si="27"/>
        <v>191.40551646126013</v>
      </c>
      <c r="G69" s="40">
        <f t="shared" si="27"/>
        <v>192.19735179727616</v>
      </c>
      <c r="H69" s="40">
        <f t="shared" si="27"/>
        <v>192.99838108943743</v>
      </c>
      <c r="I69" s="40">
        <f t="shared" si="27"/>
        <v>192.52051926314695</v>
      </c>
      <c r="J69" s="40">
        <f t="shared" si="27"/>
        <v>192.01146428747498</v>
      </c>
      <c r="K69" s="40">
        <f t="shared" si="27"/>
        <v>191.42264721729271</v>
      </c>
      <c r="L69" s="40">
        <f t="shared" si="27"/>
        <v>190.77767012043449</v>
      </c>
      <c r="M69" s="40">
        <f t="shared" si="27"/>
        <v>190.02159380241415</v>
      </c>
      <c r="N69" s="40">
        <f t="shared" si="27"/>
        <v>189.24628499905717</v>
      </c>
      <c r="O69" s="40">
        <f t="shared" si="27"/>
        <v>188.3326202037839</v>
      </c>
      <c r="P69" s="40">
        <f t="shared" si="27"/>
        <v>187.32108792471732</v>
      </c>
      <c r="Q69" s="40">
        <f t="shared" si="27"/>
        <v>186.22273655634942</v>
      </c>
      <c r="R69" s="40">
        <f t="shared" si="27"/>
        <v>185.03885261166937</v>
      </c>
      <c r="S69" s="40">
        <f t="shared" si="27"/>
        <v>183.65205848451262</v>
      </c>
      <c r="T69" s="40">
        <f t="shared" si="27"/>
        <v>182.21033952205366</v>
      </c>
      <c r="U69" s="40">
        <f t="shared" si="27"/>
        <v>180.79649831050841</v>
      </c>
      <c r="V69" s="40">
        <f t="shared" si="27"/>
        <v>179.3817270326943</v>
      </c>
      <c r="W69" s="40">
        <f t="shared" si="27"/>
        <v>178.01635271905607</v>
      </c>
      <c r="X69" s="40">
        <f t="shared" si="27"/>
        <v>176.7510629893624</v>
      </c>
      <c r="Y69" s="40">
        <f t="shared" si="27"/>
        <v>175.48754737900785</v>
      </c>
      <c r="Z69" s="40">
        <f t="shared" si="27"/>
        <v>174.30897483689887</v>
      </c>
      <c r="AA69" s="40">
        <f t="shared" si="27"/>
        <v>173.14878281483698</v>
      </c>
      <c r="AB69" s="40">
        <f t="shared" si="27"/>
        <v>172.0940848676606</v>
      </c>
    </row>
    <row r="70" spans="1:28" x14ac:dyDescent="0.25">
      <c r="A70" s="4" t="s">
        <v>331</v>
      </c>
      <c r="B70" s="40">
        <f t="shared" ref="B70:AB70" si="28">B54+B55</f>
        <v>212.67358688769841</v>
      </c>
      <c r="C70" s="40">
        <f t="shared" si="28"/>
        <v>210.58046936398583</v>
      </c>
      <c r="D70" s="40">
        <f t="shared" si="28"/>
        <v>210.92400014327222</v>
      </c>
      <c r="E70" s="40">
        <f t="shared" si="28"/>
        <v>211.23020174490412</v>
      </c>
      <c r="F70" s="40">
        <f t="shared" si="28"/>
        <v>211.45383666985478</v>
      </c>
      <c r="G70" s="40">
        <f t="shared" si="28"/>
        <v>211.64568100926994</v>
      </c>
      <c r="H70" s="40">
        <f t="shared" si="28"/>
        <v>211.78409234529431</v>
      </c>
      <c r="I70" s="40">
        <f t="shared" si="28"/>
        <v>210.55367632316981</v>
      </c>
      <c r="J70" s="40">
        <f t="shared" si="28"/>
        <v>209.29670240771438</v>
      </c>
      <c r="K70" s="40">
        <f t="shared" si="28"/>
        <v>207.99147205742818</v>
      </c>
      <c r="L70" s="40">
        <f t="shared" si="28"/>
        <v>206.65522714380438</v>
      </c>
      <c r="M70" s="40">
        <f t="shared" si="28"/>
        <v>205.2736332187425</v>
      </c>
      <c r="N70" s="40">
        <f t="shared" si="28"/>
        <v>203.8743215084215</v>
      </c>
      <c r="O70" s="40">
        <f t="shared" si="28"/>
        <v>202.4001749434679</v>
      </c>
      <c r="P70" s="40">
        <f t="shared" si="28"/>
        <v>200.86026397257007</v>
      </c>
      <c r="Q70" s="40">
        <f t="shared" si="28"/>
        <v>199.28536820769159</v>
      </c>
      <c r="R70" s="40">
        <f t="shared" si="28"/>
        <v>197.65565821288578</v>
      </c>
      <c r="S70" s="40">
        <f t="shared" si="28"/>
        <v>195.82249907278236</v>
      </c>
      <c r="T70" s="40">
        <f t="shared" si="28"/>
        <v>193.98590801816511</v>
      </c>
      <c r="U70" s="40">
        <f t="shared" si="28"/>
        <v>192.17238007088838</v>
      </c>
      <c r="V70" s="40">
        <f t="shared" si="28"/>
        <v>190.39410266872218</v>
      </c>
      <c r="W70" s="40">
        <f t="shared" si="28"/>
        <v>188.66593001753242</v>
      </c>
      <c r="X70" s="40">
        <f t="shared" si="28"/>
        <v>187.02286832286163</v>
      </c>
      <c r="Y70" s="40">
        <f t="shared" si="28"/>
        <v>185.44108895206043</v>
      </c>
      <c r="Z70" s="40">
        <f t="shared" si="28"/>
        <v>183.91488735203257</v>
      </c>
      <c r="AA70" s="40">
        <f t="shared" si="28"/>
        <v>182.43856511997578</v>
      </c>
      <c r="AB70" s="40">
        <f t="shared" si="28"/>
        <v>181.03618928928009</v>
      </c>
    </row>
    <row r="71" spans="1:28" x14ac:dyDescent="0.25">
      <c r="A71" s="4" t="s">
        <v>332</v>
      </c>
      <c r="B71" s="40">
        <f t="shared" ref="B71:AB71" si="29">B58+B59</f>
        <v>36699.261201923953</v>
      </c>
      <c r="C71" s="40">
        <f t="shared" si="29"/>
        <v>37223.631207626095</v>
      </c>
      <c r="D71" s="40">
        <f t="shared" si="29"/>
        <v>38183.760675080077</v>
      </c>
      <c r="E71" s="40">
        <f t="shared" si="29"/>
        <v>39163.324990068984</v>
      </c>
      <c r="F71" s="40">
        <f t="shared" si="29"/>
        <v>40169.701941882777</v>
      </c>
      <c r="G71" s="40">
        <f t="shared" si="29"/>
        <v>41204.996145576079</v>
      </c>
      <c r="H71" s="40">
        <f t="shared" si="29"/>
        <v>42270.07541958295</v>
      </c>
      <c r="I71" s="40">
        <f t="shared" si="29"/>
        <v>43089.763001010579</v>
      </c>
      <c r="J71" s="40">
        <f t="shared" si="29"/>
        <v>43925.786658657518</v>
      </c>
      <c r="K71" s="40">
        <f t="shared" si="29"/>
        <v>44772.477146977239</v>
      </c>
      <c r="L71" s="40">
        <f t="shared" si="29"/>
        <v>45627.508710966496</v>
      </c>
      <c r="M71" s="40">
        <f t="shared" si="29"/>
        <v>46489.202886913357</v>
      </c>
      <c r="N71" s="40">
        <f t="shared" si="29"/>
        <v>47350.323784291671</v>
      </c>
      <c r="O71" s="40">
        <f t="shared" si="29"/>
        <v>48205.306043693374</v>
      </c>
      <c r="P71" s="40">
        <f t="shared" si="29"/>
        <v>49049.829983042771</v>
      </c>
      <c r="Q71" s="40">
        <f t="shared" si="29"/>
        <v>49876.620431256524</v>
      </c>
      <c r="R71" s="40">
        <f t="shared" si="29"/>
        <v>50679.68491942159</v>
      </c>
      <c r="S71" s="40">
        <f t="shared" si="29"/>
        <v>51410.091491333907</v>
      </c>
      <c r="T71" s="40">
        <f t="shared" si="29"/>
        <v>52107.827982656359</v>
      </c>
      <c r="U71" s="40">
        <f t="shared" si="29"/>
        <v>52771.500671273439</v>
      </c>
      <c r="V71" s="40">
        <f t="shared" si="29"/>
        <v>53388.26224170778</v>
      </c>
      <c r="W71" s="40">
        <f t="shared" si="29"/>
        <v>53953.711875823697</v>
      </c>
      <c r="X71" s="40">
        <f t="shared" si="29"/>
        <v>54467.034052599192</v>
      </c>
      <c r="Y71" s="40">
        <f t="shared" si="29"/>
        <v>54951.482132236808</v>
      </c>
      <c r="Z71" s="40">
        <f t="shared" si="29"/>
        <v>55384.638793512073</v>
      </c>
      <c r="AA71" s="40">
        <f t="shared" si="29"/>
        <v>55763.173119768428</v>
      </c>
      <c r="AB71" s="40">
        <f t="shared" si="29"/>
        <v>56089.277097648599</v>
      </c>
    </row>
    <row r="72" spans="1:28" x14ac:dyDescent="0.25">
      <c r="A72" s="4" t="s">
        <v>333</v>
      </c>
      <c r="B72" s="40">
        <f t="shared" ref="B72:AB72" si="30">B60+B61+B62+B63</f>
        <v>37006.028262989785</v>
      </c>
      <c r="C72" s="40">
        <f t="shared" si="30"/>
        <v>37541.35786484307</v>
      </c>
      <c r="D72" s="40">
        <f t="shared" si="30"/>
        <v>38515.803053215997</v>
      </c>
      <c r="E72" s="40">
        <f t="shared" si="30"/>
        <v>39510.578934471509</v>
      </c>
      <c r="F72" s="40">
        <f t="shared" si="30"/>
        <v>40531.805890935197</v>
      </c>
      <c r="G72" s="40">
        <f t="shared" si="30"/>
        <v>41582.149956966939</v>
      </c>
      <c r="H72" s="40">
        <f t="shared" si="30"/>
        <v>42662.285421527675</v>
      </c>
      <c r="I72" s="40">
        <f t="shared" si="30"/>
        <v>43493.739382638836</v>
      </c>
      <c r="J72" s="40">
        <f t="shared" si="30"/>
        <v>44340.723295697127</v>
      </c>
      <c r="K72" s="40">
        <f t="shared" si="30"/>
        <v>45197.622964103044</v>
      </c>
      <c r="L72" s="40">
        <f t="shared" si="30"/>
        <v>46061.248518484645</v>
      </c>
      <c r="M72" s="40">
        <f t="shared" si="30"/>
        <v>46930.17214878447</v>
      </c>
      <c r="N72" s="40">
        <f t="shared" si="30"/>
        <v>47795.805380129343</v>
      </c>
      <c r="O72" s="40">
        <f t="shared" si="30"/>
        <v>48653.34865012196</v>
      </c>
      <c r="P72" s="40">
        <f t="shared" si="30"/>
        <v>49497.467432088844</v>
      </c>
      <c r="Q72" s="40">
        <f t="shared" si="30"/>
        <v>50321.122290236417</v>
      </c>
      <c r="R72" s="40">
        <f t="shared" si="30"/>
        <v>51117.658418715335</v>
      </c>
      <c r="S72" s="40">
        <f t="shared" si="30"/>
        <v>51837.1047513835</v>
      </c>
      <c r="T72" s="40">
        <f t="shared" si="30"/>
        <v>52520.674933456932</v>
      </c>
      <c r="U72" s="40">
        <f t="shared" si="30"/>
        <v>53166.734487788148</v>
      </c>
      <c r="V72" s="40">
        <f t="shared" si="30"/>
        <v>53761.343879690052</v>
      </c>
      <c r="W72" s="40">
        <f t="shared" si="30"/>
        <v>54301.089551319594</v>
      </c>
      <c r="X72" s="40">
        <f t="shared" si="30"/>
        <v>54785.218014040904</v>
      </c>
      <c r="Y72" s="40">
        <f t="shared" si="30"/>
        <v>55238.641320874412</v>
      </c>
      <c r="Z72" s="40">
        <f t="shared" si="30"/>
        <v>55637.636786663999</v>
      </c>
      <c r="AA72" s="40">
        <f t="shared" si="30"/>
        <v>55978.632437207329</v>
      </c>
      <c r="AB72" s="40">
        <f t="shared" si="30"/>
        <v>56265.023599592525</v>
      </c>
    </row>
    <row r="73" spans="1:28" x14ac:dyDescent="0.25">
      <c r="A73" s="4" t="s">
        <v>334</v>
      </c>
      <c r="B73" s="40">
        <f t="shared" ref="B73:AB73" si="31">B64+B65</f>
        <v>37709.963785723929</v>
      </c>
      <c r="C73" s="40">
        <f t="shared" si="31"/>
        <v>38233.808240745399</v>
      </c>
      <c r="D73" s="40">
        <f t="shared" si="31"/>
        <v>39204.503602860816</v>
      </c>
      <c r="E73" s="40">
        <f t="shared" si="31"/>
        <v>40194.389737610909</v>
      </c>
      <c r="F73" s="40">
        <f t="shared" si="31"/>
        <v>41211.196344335396</v>
      </c>
      <c r="G73" s="40">
        <f t="shared" si="31"/>
        <v>42256.997340702204</v>
      </c>
      <c r="H73" s="40">
        <f t="shared" si="31"/>
        <v>43332.367851785144</v>
      </c>
      <c r="I73" s="40">
        <f t="shared" si="31"/>
        <v>44155.211146712674</v>
      </c>
      <c r="J73" s="40">
        <f t="shared" si="31"/>
        <v>44994.113453121623</v>
      </c>
      <c r="K73" s="40">
        <f t="shared" si="31"/>
        <v>45842.833318872246</v>
      </c>
      <c r="L73" s="40">
        <f t="shared" si="31"/>
        <v>46698.723475735111</v>
      </c>
      <c r="M73" s="40">
        <f t="shared" si="31"/>
        <v>47560.291273555667</v>
      </c>
      <c r="N73" s="40">
        <f t="shared" si="31"/>
        <v>48419.593720726174</v>
      </c>
      <c r="O73" s="40">
        <f t="shared" si="31"/>
        <v>49270.96676470722</v>
      </c>
      <c r="P73" s="40">
        <f t="shared" si="31"/>
        <v>50109.926629818445</v>
      </c>
      <c r="Q73" s="40">
        <f t="shared" si="31"/>
        <v>50928.732981232664</v>
      </c>
      <c r="R73" s="40">
        <f t="shared" si="31"/>
        <v>51721.37454534712</v>
      </c>
      <c r="S73" s="40">
        <f t="shared" si="31"/>
        <v>52437.773136154021</v>
      </c>
      <c r="T73" s="40">
        <f t="shared" si="31"/>
        <v>53118.676737256719</v>
      </c>
      <c r="U73" s="40">
        <f t="shared" si="31"/>
        <v>53762.70031687717</v>
      </c>
      <c r="V73" s="40">
        <f t="shared" si="31"/>
        <v>54356.568260311687</v>
      </c>
      <c r="W73" s="40">
        <f t="shared" si="31"/>
        <v>54895.857499926213</v>
      </c>
      <c r="X73" s="40">
        <f t="shared" si="31"/>
        <v>55379.509600726087</v>
      </c>
      <c r="Y73" s="40">
        <f t="shared" si="31"/>
        <v>55832.295296942088</v>
      </c>
      <c r="Z73" s="40">
        <f t="shared" si="31"/>
        <v>56230.700406727294</v>
      </c>
      <c r="AA73" s="40">
        <f t="shared" si="31"/>
        <v>56571.632583481914</v>
      </c>
      <c r="AB73" s="40">
        <f t="shared" si="31"/>
        <v>56857.443850297786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119.78861972857459</v>
      </c>
      <c r="C2" s="37">
        <f>BDbDT_calcs!C48</f>
        <v>118.57456711826362</v>
      </c>
      <c r="D2" s="37">
        <f>BDbDT_calcs!D48</f>
        <v>118.73071502936273</v>
      </c>
      <c r="E2" s="37">
        <f>BDbDT_calcs!E48</f>
        <v>118.87462476905547</v>
      </c>
      <c r="F2" s="37">
        <f>BDbDT_calcs!F48</f>
        <v>118.98174842529532</v>
      </c>
      <c r="G2" s="37">
        <f>BDbDT_calcs!G48</f>
        <v>119.05229068081213</v>
      </c>
      <c r="H2" s="37">
        <f>BDbDT_calcs!H48</f>
        <v>119.08707370178362</v>
      </c>
      <c r="I2" s="37">
        <f>BDbDT_calcs!I48</f>
        <v>118.40535375701081</v>
      </c>
      <c r="J2" s="37">
        <f>BDbDT_calcs!J48</f>
        <v>117.64287896088315</v>
      </c>
      <c r="K2" s="37">
        <f>BDbDT_calcs!K48</f>
        <v>116.90187269559132</v>
      </c>
      <c r="L2" s="37">
        <f>BDbDT_calcs!L48</f>
        <v>116.088622507411</v>
      </c>
      <c r="M2" s="37">
        <f>BDbDT_calcs!M48</f>
        <v>115.29678420796756</v>
      </c>
      <c r="N2" s="37">
        <f>BDbDT_calcs!N48</f>
        <v>114.5399613433692</v>
      </c>
      <c r="O2" s="37">
        <f>BDbDT_calcs!O48</f>
        <v>113.62848526490541</v>
      </c>
      <c r="P2" s="37">
        <f>BDbDT_calcs!P48</f>
        <v>112.76463009718066</v>
      </c>
      <c r="Q2" s="37">
        <f>BDbDT_calcs!Q48</f>
        <v>111.82540018133936</v>
      </c>
      <c r="R2" s="37">
        <f>BDbDT_calcs!R48</f>
        <v>110.87783630599448</v>
      </c>
      <c r="S2" s="37">
        <f>BDbDT_calcs!S48</f>
        <v>109.79884941175403</v>
      </c>
      <c r="T2" s="37">
        <f>BDbDT_calcs!T48</f>
        <v>108.72594388435478</v>
      </c>
      <c r="U2" s="37">
        <f>BDbDT_calcs!U48</f>
        <v>107.65780696510953</v>
      </c>
      <c r="V2" s="37">
        <f>BDbDT_calcs!V48</f>
        <v>106.59279668809569</v>
      </c>
      <c r="W2" s="37">
        <f>BDbDT_calcs!W48</f>
        <v>105.54307916465052</v>
      </c>
      <c r="X2" s="37">
        <f>BDbDT_calcs!X48</f>
        <v>104.60496655684511</v>
      </c>
      <c r="Y2" s="37">
        <f>BDbDT_calcs!Y48</f>
        <v>103.66615902354056</v>
      </c>
      <c r="Z2" s="37">
        <f>BDbDT_calcs!Z48</f>
        <v>102.79554076662777</v>
      </c>
      <c r="AA2" s="37">
        <f>BDbDT_calcs!AA48</f>
        <v>101.93576031879532</v>
      </c>
      <c r="AB2" s="37">
        <f>BDbDT_calcs!AB48</f>
        <v>101.07129599265312</v>
      </c>
    </row>
    <row r="3" spans="1:28" x14ac:dyDescent="0.25">
      <c r="A3" s="4" t="s">
        <v>216</v>
      </c>
      <c r="B3" s="37">
        <f>BDbDT_calcs!B49</f>
        <v>94.736181840887937</v>
      </c>
      <c r="C3" s="37">
        <f>BDbDT_calcs!C49</f>
        <v>93.972629197932847</v>
      </c>
      <c r="D3" s="37">
        <f>BDbDT_calcs!D49</f>
        <v>94.306423044623543</v>
      </c>
      <c r="E3" s="37">
        <f>BDbDT_calcs!E49</f>
        <v>94.621498793650986</v>
      </c>
      <c r="F3" s="37">
        <f>BDbDT_calcs!F49</f>
        <v>94.905824379446614</v>
      </c>
      <c r="G3" s="37">
        <f>BDbDT_calcs!G49</f>
        <v>95.185566128082357</v>
      </c>
      <c r="H3" s="37">
        <f>BDbDT_calcs!H49</f>
        <v>95.448816968001665</v>
      </c>
      <c r="I3" s="37">
        <f>BDbDT_calcs!I49</f>
        <v>95.042491945544029</v>
      </c>
      <c r="J3" s="37">
        <f>BDbDT_calcs!J49</f>
        <v>94.686867517836347</v>
      </c>
      <c r="K3" s="37">
        <f>BDbDT_calcs!K49</f>
        <v>94.259535331479768</v>
      </c>
      <c r="L3" s="37">
        <f>BDbDT_calcs!L49</f>
        <v>93.866591595947796</v>
      </c>
      <c r="M3" s="37">
        <f>BDbDT_calcs!M49</f>
        <v>93.401525067994328</v>
      </c>
      <c r="N3" s="37">
        <f>BDbDT_calcs!N49</f>
        <v>92.87702120633341</v>
      </c>
      <c r="O3" s="37">
        <f>BDbDT_calcs!O49</f>
        <v>92.426967363207851</v>
      </c>
      <c r="P3" s="37">
        <f>BDbDT_calcs!P49</f>
        <v>91.849446812191957</v>
      </c>
      <c r="Q3" s="37">
        <f>BDbDT_calcs!Q49</f>
        <v>91.305312780175598</v>
      </c>
      <c r="R3" s="37">
        <f>BDbDT_calcs!R49</f>
        <v>90.699224546702794</v>
      </c>
      <c r="S3" s="37">
        <f>BDbDT_calcs!S49</f>
        <v>90.020545752229168</v>
      </c>
      <c r="T3" s="37">
        <f>BDbDT_calcs!T49</f>
        <v>89.320762164734234</v>
      </c>
      <c r="U3" s="37">
        <f>BDbDT_calcs!U49</f>
        <v>88.626072253463477</v>
      </c>
      <c r="V3" s="37">
        <f>BDbDT_calcs!V49</f>
        <v>87.9627506920489</v>
      </c>
      <c r="W3" s="37">
        <f>BDbDT_calcs!W49</f>
        <v>87.315859562139778</v>
      </c>
      <c r="X3" s="37">
        <f>BDbDT_calcs!X49</f>
        <v>86.656397734174973</v>
      </c>
      <c r="Y3" s="37">
        <f>BDbDT_calcs!Y49</f>
        <v>86.052917499207112</v>
      </c>
      <c r="Z3" s="37">
        <f>BDbDT_calcs!Z49</f>
        <v>85.434862882010535</v>
      </c>
      <c r="AA3" s="37">
        <f>BDbDT_calcs!AA49</f>
        <v>84.856937883480654</v>
      </c>
      <c r="AB3" s="37">
        <f>BDbDT_calcs!AB49</f>
        <v>84.360653987808547</v>
      </c>
    </row>
    <row r="4" spans="1:28" x14ac:dyDescent="0.25">
      <c r="A4" s="4" t="s">
        <v>217</v>
      </c>
      <c r="B4" s="37">
        <f>BDbDT_calcs!B50</f>
        <v>141.21531627824518</v>
      </c>
      <c r="C4" s="37">
        <f>BDbDT_calcs!C50</f>
        <v>139.91801267290197</v>
      </c>
      <c r="D4" s="37">
        <f>BDbDT_calcs!D50</f>
        <v>140.26795437475394</v>
      </c>
      <c r="E4" s="37">
        <f>BDbDT_calcs!E50</f>
        <v>140.57735830968994</v>
      </c>
      <c r="F4" s="37">
        <f>BDbDT_calcs!F50</f>
        <v>140.86195766989493</v>
      </c>
      <c r="G4" s="37">
        <f>BDbDT_calcs!G50</f>
        <v>141.13726636544317</v>
      </c>
      <c r="H4" s="37">
        <f>BDbDT_calcs!H50</f>
        <v>141.34535324850725</v>
      </c>
      <c r="I4" s="37">
        <f>BDbDT_calcs!I50</f>
        <v>140.67254031442982</v>
      </c>
      <c r="J4" s="37">
        <f>BDbDT_calcs!J50</f>
        <v>139.94044404489327</v>
      </c>
      <c r="K4" s="37">
        <f>BDbDT_calcs!K50</f>
        <v>139.15867877686759</v>
      </c>
      <c r="L4" s="37">
        <f>BDbDT_calcs!L50</f>
        <v>138.31186611526297</v>
      </c>
      <c r="M4" s="37">
        <f>BDbDT_calcs!M50</f>
        <v>137.39945012572062</v>
      </c>
      <c r="N4" s="37">
        <f>BDbDT_calcs!N50</f>
        <v>136.42067606410674</v>
      </c>
      <c r="O4" s="37">
        <f>BDbDT_calcs!O50</f>
        <v>135.32892865570716</v>
      </c>
      <c r="P4" s="37">
        <f>BDbDT_calcs!P50</f>
        <v>134.18393933870627</v>
      </c>
      <c r="Q4" s="37">
        <f>BDbDT_calcs!Q50</f>
        <v>132.96907883246934</v>
      </c>
      <c r="R4" s="37">
        <f>BDbDT_calcs!R50</f>
        <v>131.68271340132799</v>
      </c>
      <c r="S4" s="37">
        <f>BDbDT_calcs!S50</f>
        <v>130.24173005549133</v>
      </c>
      <c r="T4" s="37">
        <f>BDbDT_calcs!T50</f>
        <v>128.80695660800953</v>
      </c>
      <c r="U4" s="37">
        <f>BDbDT_calcs!U50</f>
        <v>127.376772403095</v>
      </c>
      <c r="V4" s="37">
        <f>BDbDT_calcs!V50</f>
        <v>125.96480663431352</v>
      </c>
      <c r="W4" s="37">
        <f>BDbDT_calcs!W50</f>
        <v>124.60044655028476</v>
      </c>
      <c r="X4" s="37">
        <f>BDbDT_calcs!X50</f>
        <v>123.29780642029091</v>
      </c>
      <c r="Y4" s="37">
        <f>BDbDT_calcs!Y50</f>
        <v>122.02452853982858</v>
      </c>
      <c r="Z4" s="37">
        <f>BDbDT_calcs!Z50</f>
        <v>120.79491535358109</v>
      </c>
      <c r="AA4" s="37">
        <f>BDbDT_calcs!AA50</f>
        <v>119.63947417645535</v>
      </c>
      <c r="AB4" s="37">
        <f>BDbDT_calcs!AB50</f>
        <v>118.52537327738075</v>
      </c>
    </row>
    <row r="5" spans="1:28" x14ac:dyDescent="0.25">
      <c r="A5" s="4" t="s">
        <v>218</v>
      </c>
      <c r="B5" s="37">
        <f>BDbDT_calcs!B51</f>
        <v>10.895085154966553</v>
      </c>
      <c r="C5" s="37">
        <f>BDbDT_calcs!C51</f>
        <v>10.720301535608074</v>
      </c>
      <c r="D5" s="37">
        <f>BDbDT_calcs!D51</f>
        <v>10.672479582500467</v>
      </c>
      <c r="E5" s="37">
        <f>BDbDT_calcs!E51</f>
        <v>10.617699407385883</v>
      </c>
      <c r="F5" s="37">
        <f>BDbDT_calcs!F51</f>
        <v>10.555962584580065</v>
      </c>
      <c r="G5" s="37">
        <f>BDbDT_calcs!G51</f>
        <v>10.49202596725276</v>
      </c>
      <c r="H5" s="37">
        <f>BDbDT_calcs!H51</f>
        <v>10.41872139640175</v>
      </c>
      <c r="I5" s="37">
        <f>BDbDT_calcs!I51</f>
        <v>10.280781344344586</v>
      </c>
      <c r="J5" s="37">
        <f>BDbDT_calcs!J51</f>
        <v>10.143513506479769</v>
      </c>
      <c r="K5" s="37">
        <f>BDbDT_calcs!K51</f>
        <v>10.006531854741073</v>
      </c>
      <c r="L5" s="37">
        <f>BDbDT_calcs!L51</f>
        <v>9.8747407272028411</v>
      </c>
      <c r="M5" s="37">
        <f>BDbDT_calcs!M51</f>
        <v>9.7506321891107248</v>
      </c>
      <c r="N5" s="37">
        <f>BDbDT_calcs!N51</f>
        <v>9.6268295321787818</v>
      </c>
      <c r="O5" s="37">
        <f>BDbDT_calcs!O51</f>
        <v>9.5107513254107978</v>
      </c>
      <c r="P5" s="37">
        <f>BDbDT_calcs!P51</f>
        <v>9.3949639429472924</v>
      </c>
      <c r="Q5" s="37">
        <f>BDbDT_calcs!Q51</f>
        <v>9.2844097903629788</v>
      </c>
      <c r="R5" s="37">
        <f>BDbDT_calcs!R51</f>
        <v>9.1765683288008351</v>
      </c>
      <c r="S5" s="37">
        <f>BDbDT_calcs!S51</f>
        <v>9.0610638482704093</v>
      </c>
      <c r="T5" s="37">
        <f>BDbDT_calcs!T51</f>
        <v>8.9484213129603667</v>
      </c>
      <c r="U5" s="37">
        <f>BDbDT_calcs!U51</f>
        <v>8.8360136343754014</v>
      </c>
      <c r="V5" s="37">
        <f>BDbDT_calcs!V51</f>
        <v>8.7287805250624562</v>
      </c>
      <c r="W5" s="37">
        <f>BDbDT_calcs!W51</f>
        <v>8.6189692270206884</v>
      </c>
      <c r="X5" s="37">
        <f>BDbDT_calcs!X51</f>
        <v>8.5140813096938981</v>
      </c>
      <c r="Y5" s="37">
        <f>BDbDT_calcs!Y51</f>
        <v>8.4166381533895542</v>
      </c>
      <c r="Z5" s="37">
        <f>BDbDT_calcs!Z51</f>
        <v>8.3188540289189756</v>
      </c>
      <c r="AA5" s="37">
        <f>BDbDT_calcs!AA51</f>
        <v>8.2257749961331399</v>
      </c>
      <c r="AB5" s="37">
        <f>BDbDT_calcs!AB51</f>
        <v>8.1321393610935289</v>
      </c>
    </row>
    <row r="6" spans="1:28" x14ac:dyDescent="0.25">
      <c r="A6" s="4" t="s">
        <v>219</v>
      </c>
      <c r="B6" s="37">
        <f>BDbDT_calcs!B52</f>
        <v>9.3139979576314893</v>
      </c>
      <c r="C6" s="37">
        <f>BDbDT_calcs!C52</f>
        <v>9.3220539852454571</v>
      </c>
      <c r="D6" s="37">
        <f>BDbDT_calcs!D52</f>
        <v>9.4395079198394392</v>
      </c>
      <c r="E6" s="37">
        <f>BDbDT_calcs!E52</f>
        <v>9.5688897559665609</v>
      </c>
      <c r="F6" s="37">
        <f>BDbDT_calcs!F52</f>
        <v>9.6995487743407178</v>
      </c>
      <c r="G6" s="37">
        <f>BDbDT_calcs!G52</f>
        <v>9.8315784121560483</v>
      </c>
      <c r="H6" s="37">
        <f>BDbDT_calcs!H52</f>
        <v>9.9651290472761431</v>
      </c>
      <c r="I6" s="37">
        <f>BDbDT_calcs!I52</f>
        <v>10.036906229858742</v>
      </c>
      <c r="J6" s="37">
        <f>BDbDT_calcs!J52</f>
        <v>10.110470035491945</v>
      </c>
      <c r="K6" s="37">
        <f>BDbDT_calcs!K52</f>
        <v>10.208286900593508</v>
      </c>
      <c r="L6" s="37">
        <f>BDbDT_calcs!L52</f>
        <v>10.28497251606324</v>
      </c>
      <c r="M6" s="37">
        <f>BDbDT_calcs!M52</f>
        <v>10.363284984098847</v>
      </c>
      <c r="N6" s="37">
        <f>BDbDT_calcs!N52</f>
        <v>10.443279671605433</v>
      </c>
      <c r="O6" s="37">
        <f>BDbDT_calcs!O52</f>
        <v>10.525013922053075</v>
      </c>
      <c r="P6" s="37">
        <f>BDbDT_calcs!P52</f>
        <v>10.596964578013887</v>
      </c>
      <c r="Q6" s="37">
        <f>BDbDT_calcs!Q52</f>
        <v>10.682251635987301</v>
      </c>
      <c r="R6" s="37">
        <f>BDbDT_calcs!R52</f>
        <v>10.746049551168861</v>
      </c>
      <c r="S6" s="37">
        <f>BDbDT_calcs!S52</f>
        <v>10.813866355787864</v>
      </c>
      <c r="T6" s="37">
        <f>BDbDT_calcs!T52</f>
        <v>10.895094454293163</v>
      </c>
      <c r="U6" s="37">
        <f>BDbDT_calcs!U52</f>
        <v>10.954489853625271</v>
      </c>
      <c r="V6" s="37">
        <f>BDbDT_calcs!V52</f>
        <v>11.027136094991709</v>
      </c>
      <c r="W6" s="37">
        <f>BDbDT_calcs!W52</f>
        <v>11.101184090859819</v>
      </c>
      <c r="X6" s="37">
        <f>BDbDT_calcs!X52</f>
        <v>11.164614091837507</v>
      </c>
      <c r="Y6" s="37">
        <f>BDbDT_calcs!Y52</f>
        <v>11.253018464923356</v>
      </c>
      <c r="Z6" s="37">
        <f>BDbDT_calcs!Z52</f>
        <v>11.318621173666697</v>
      </c>
      <c r="AA6" s="37">
        <f>BDbDT_calcs!AA52</f>
        <v>11.385064290180372</v>
      </c>
      <c r="AB6" s="37">
        <f>BDbDT_calcs!AB52</f>
        <v>11.45220893783684</v>
      </c>
    </row>
    <row r="7" spans="1:28" x14ac:dyDescent="0.25">
      <c r="A7" s="4" t="s">
        <v>220</v>
      </c>
      <c r="B7" s="37">
        <f>BDbDT_calcs!B53</f>
        <v>28.687705128843604</v>
      </c>
      <c r="C7" s="37">
        <f>BDbDT_calcs!C53</f>
        <v>28.857859303894323</v>
      </c>
      <c r="D7" s="37">
        <f>BDbDT_calcs!D53</f>
        <v>29.310548539650775</v>
      </c>
      <c r="E7" s="37">
        <f>BDbDT_calcs!E53</f>
        <v>29.806151295376569</v>
      </c>
      <c r="F7" s="37">
        <f>BDbDT_calcs!F53</f>
        <v>30.288047432444412</v>
      </c>
      <c r="G7" s="37">
        <f>BDbDT_calcs!G53</f>
        <v>30.736481052424139</v>
      </c>
      <c r="H7" s="37">
        <f>BDbDT_calcs!H53</f>
        <v>31.269177397252282</v>
      </c>
      <c r="I7" s="37">
        <f>BDbDT_calcs!I53</f>
        <v>31.530291374513808</v>
      </c>
      <c r="J7" s="37">
        <f>BDbDT_calcs!J53</f>
        <v>31.817036700610011</v>
      </c>
      <c r="K7" s="37">
        <f>BDbDT_calcs!K53</f>
        <v>32.049149685090512</v>
      </c>
      <c r="L7" s="37">
        <f>BDbDT_calcs!L53</f>
        <v>32.306090761905452</v>
      </c>
      <c r="M7" s="37">
        <f>BDbDT_calcs!M53</f>
        <v>32.508226503483975</v>
      </c>
      <c r="N7" s="37">
        <f>BDbDT_calcs!N53</f>
        <v>32.755499731166204</v>
      </c>
      <c r="O7" s="37">
        <f>BDbDT_calcs!O53</f>
        <v>32.967926300612888</v>
      </c>
      <c r="P7" s="37">
        <f>BDbDT_calcs!P53</f>
        <v>33.14522006504987</v>
      </c>
      <c r="Q7" s="37">
        <f>BDbDT_calcs!Q53</f>
        <v>33.286996297529775</v>
      </c>
      <c r="R7" s="37">
        <f>BDbDT_calcs!R53</f>
        <v>33.433521330371676</v>
      </c>
      <c r="S7" s="37">
        <f>BDbDT_calcs!S53</f>
        <v>33.535398224963025</v>
      </c>
      <c r="T7" s="37">
        <f>BDbDT_calcs!T53</f>
        <v>33.559867146790594</v>
      </c>
      <c r="U7" s="37">
        <f>BDbDT_calcs!U53</f>
        <v>33.629222419412727</v>
      </c>
      <c r="V7" s="37">
        <f>BDbDT_calcs!V53</f>
        <v>33.661003778326624</v>
      </c>
      <c r="W7" s="37">
        <f>BDbDT_calcs!W53</f>
        <v>33.695752850890813</v>
      </c>
      <c r="X7" s="37">
        <f>BDbDT_calcs!X53</f>
        <v>33.774561167540078</v>
      </c>
      <c r="Y7" s="37">
        <f>BDbDT_calcs!Y53</f>
        <v>33.793362220866378</v>
      </c>
      <c r="Z7" s="37">
        <f>BDbDT_calcs!Z53</f>
        <v>33.876584280732118</v>
      </c>
      <c r="AA7" s="37">
        <f>BDbDT_calcs!AA53</f>
        <v>33.898469352068105</v>
      </c>
      <c r="AB7" s="37">
        <f>BDbDT_calcs!AB53</f>
        <v>33.984363291349467</v>
      </c>
    </row>
    <row r="8" spans="1:28" x14ac:dyDescent="0.25">
      <c r="A8" s="4" t="s">
        <v>221</v>
      </c>
      <c r="B8" s="37">
        <f>BDbDT_calcs!B54</f>
        <v>38.704571026758572</v>
      </c>
      <c r="C8" s="37">
        <f>BDbDT_calcs!C54</f>
        <v>38.764347167271872</v>
      </c>
      <c r="D8" s="37">
        <f>BDbDT_calcs!D54</f>
        <v>39.299491305788912</v>
      </c>
      <c r="E8" s="37">
        <f>BDbDT_calcs!E54</f>
        <v>39.849631304165577</v>
      </c>
      <c r="F8" s="37">
        <f>BDbDT_calcs!F54</f>
        <v>40.436273532976543</v>
      </c>
      <c r="G8" s="37">
        <f>BDbDT_calcs!G54</f>
        <v>40.987713526235225</v>
      </c>
      <c r="H8" s="37">
        <f>BDbDT_calcs!H54</f>
        <v>41.535000265761418</v>
      </c>
      <c r="I8" s="37">
        <f>BDbDT_calcs!I54</f>
        <v>41.814163372202323</v>
      </c>
      <c r="J8" s="37">
        <f>BDbDT_calcs!J54</f>
        <v>42.079520687788325</v>
      </c>
      <c r="K8" s="37">
        <f>BDbDT_calcs!K54</f>
        <v>42.32965206547123</v>
      </c>
      <c r="L8" s="37">
        <f>BDbDT_calcs!L54</f>
        <v>42.554000382925452</v>
      </c>
      <c r="M8" s="37">
        <f>BDbDT_calcs!M54</f>
        <v>42.752502312326158</v>
      </c>
      <c r="N8" s="37">
        <f>BDbDT_calcs!N54</f>
        <v>42.925034381589569</v>
      </c>
      <c r="O8" s="37">
        <f>BDbDT_calcs!O54</f>
        <v>43.07145349426596</v>
      </c>
      <c r="P8" s="37">
        <f>BDbDT_calcs!P54</f>
        <v>43.159210707109992</v>
      </c>
      <c r="Q8" s="37">
        <f>BDbDT_calcs!Q54</f>
        <v>43.220065501936212</v>
      </c>
      <c r="R8" s="37">
        <f>BDbDT_calcs!R54</f>
        <v>43.221024759912993</v>
      </c>
      <c r="S8" s="37">
        <f>BDbDT_calcs!S54</f>
        <v>43.189377000951517</v>
      </c>
      <c r="T8" s="37">
        <f>BDbDT_calcs!T54</f>
        <v>43.11887054520728</v>
      </c>
      <c r="U8" s="37">
        <f>BDbDT_calcs!U54</f>
        <v>43.00871227311346</v>
      </c>
      <c r="V8" s="37">
        <f>BDbDT_calcs!V54</f>
        <v>42.901924377170388</v>
      </c>
      <c r="W8" s="37">
        <f>BDbDT_calcs!W54</f>
        <v>42.742721902998973</v>
      </c>
      <c r="X8" s="37">
        <f>BDbDT_calcs!X54</f>
        <v>42.640650139611495</v>
      </c>
      <c r="Y8" s="37">
        <f>BDbDT_calcs!Y54</f>
        <v>42.529205419647532</v>
      </c>
      <c r="Z8" s="37">
        <f>BDbDT_calcs!Z54</f>
        <v>42.418840489596313</v>
      </c>
      <c r="AA8" s="37">
        <f>BDbDT_calcs!AA54</f>
        <v>42.320166202865948</v>
      </c>
      <c r="AB8" s="37">
        <f>BDbDT_calcs!AB54</f>
        <v>42.243976320396683</v>
      </c>
    </row>
    <row r="9" spans="1:28" x14ac:dyDescent="0.25">
      <c r="A9" s="4" t="s">
        <v>222</v>
      </c>
      <c r="B9" s="37">
        <f>BDbDT_calcs!B55</f>
        <v>173.96901586093983</v>
      </c>
      <c r="C9" s="37">
        <f>BDbDT_calcs!C55</f>
        <v>171.81612219671396</v>
      </c>
      <c r="D9" s="37">
        <f>BDbDT_calcs!D55</f>
        <v>171.62450883748332</v>
      </c>
      <c r="E9" s="37">
        <f>BDbDT_calcs!E55</f>
        <v>171.38057044073855</v>
      </c>
      <c r="F9" s="37">
        <f>BDbDT_calcs!F55</f>
        <v>171.01756313687824</v>
      </c>
      <c r="G9" s="37">
        <f>BDbDT_calcs!G55</f>
        <v>170.65796748303472</v>
      </c>
      <c r="H9" s="37">
        <f>BDbDT_calcs!H55</f>
        <v>170.24909207953289</v>
      </c>
      <c r="I9" s="37">
        <f>BDbDT_calcs!I55</f>
        <v>168.73951295096748</v>
      </c>
      <c r="J9" s="37">
        <f>BDbDT_calcs!J55</f>
        <v>167.21718171992606</v>
      </c>
      <c r="K9" s="37">
        <f>BDbDT_calcs!K55</f>
        <v>165.66181999195695</v>
      </c>
      <c r="L9" s="37">
        <f>BDbDT_calcs!L55</f>
        <v>164.10122676087894</v>
      </c>
      <c r="M9" s="37">
        <f>BDbDT_calcs!M55</f>
        <v>162.52113090641635</v>
      </c>
      <c r="N9" s="37">
        <f>BDbDT_calcs!N55</f>
        <v>160.94928712683193</v>
      </c>
      <c r="O9" s="37">
        <f>BDbDT_calcs!O55</f>
        <v>159.32872144920194</v>
      </c>
      <c r="P9" s="37">
        <f>BDbDT_calcs!P55</f>
        <v>157.70105326546008</v>
      </c>
      <c r="Q9" s="37">
        <f>BDbDT_calcs!Q55</f>
        <v>156.06530270575539</v>
      </c>
      <c r="R9" s="37">
        <f>BDbDT_calcs!R55</f>
        <v>154.43463345297278</v>
      </c>
      <c r="S9" s="37">
        <f>BDbDT_calcs!S55</f>
        <v>152.63312207183085</v>
      </c>
      <c r="T9" s="37">
        <f>BDbDT_calcs!T55</f>
        <v>150.86703747295783</v>
      </c>
      <c r="U9" s="37">
        <f>BDbDT_calcs!U55</f>
        <v>149.16366779777493</v>
      </c>
      <c r="V9" s="37">
        <f>BDbDT_calcs!V55</f>
        <v>147.4921782915518</v>
      </c>
      <c r="W9" s="37">
        <f>BDbDT_calcs!W55</f>
        <v>145.92320811453345</v>
      </c>
      <c r="X9" s="37">
        <f>BDbDT_calcs!X55</f>
        <v>144.38221818325013</v>
      </c>
      <c r="Y9" s="37">
        <f>BDbDT_calcs!Y55</f>
        <v>142.9118835324129</v>
      </c>
      <c r="Z9" s="37">
        <f>BDbDT_calcs!Z55</f>
        <v>141.49604686243626</v>
      </c>
      <c r="AA9" s="37">
        <f>BDbDT_calcs!AA55</f>
        <v>140.11839891710983</v>
      </c>
      <c r="AB9" s="37">
        <f>BDbDT_calcs!AB55</f>
        <v>138.7922129688834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18995.336222346355</v>
      </c>
      <c r="C2" s="37">
        <f>BDbDT_calcs!C58</f>
        <v>19290.85062121103</v>
      </c>
      <c r="D2" s="37">
        <f>BDbDT_calcs!D58</f>
        <v>19811.669987903955</v>
      </c>
      <c r="E2" s="37">
        <f>BDbDT_calcs!E58</f>
        <v>20338.044450198318</v>
      </c>
      <c r="F2" s="37">
        <f>BDbDT_calcs!F58</f>
        <v>20871.709961433389</v>
      </c>
      <c r="G2" s="37">
        <f>BDbDT_calcs!G58</f>
        <v>21413.316705532852</v>
      </c>
      <c r="H2" s="37">
        <f>BDbDT_calcs!H58</f>
        <v>21961.433135754003</v>
      </c>
      <c r="I2" s="37">
        <f>BDbDT_calcs!I58</f>
        <v>22373.299396772552</v>
      </c>
      <c r="J2" s="37">
        <f>BDbDT_calcs!J58</f>
        <v>22783.838020904343</v>
      </c>
      <c r="K2" s="37">
        <f>BDbDT_calcs!K58</f>
        <v>23192.621829259748</v>
      </c>
      <c r="L2" s="37">
        <f>BDbDT_calcs!L58</f>
        <v>23597.648460321103</v>
      </c>
      <c r="M2" s="37">
        <f>BDbDT_calcs!M58</f>
        <v>23998.465789323665</v>
      </c>
      <c r="N2" s="37">
        <f>BDbDT_calcs!N58</f>
        <v>24392.550750293984</v>
      </c>
      <c r="O2" s="37">
        <f>BDbDT_calcs!O58</f>
        <v>24778.890669919474</v>
      </c>
      <c r="P2" s="37">
        <f>BDbDT_calcs!P58</f>
        <v>25154.189871808274</v>
      </c>
      <c r="Q2" s="37">
        <f>BDbDT_calcs!Q58</f>
        <v>25517.791236175759</v>
      </c>
      <c r="R2" s="37">
        <f>BDbDT_calcs!R58</f>
        <v>25865.652966356491</v>
      </c>
      <c r="S2" s="37">
        <f>BDbDT_calcs!S58</f>
        <v>26175.236858325756</v>
      </c>
      <c r="T2" s="37">
        <f>BDbDT_calcs!T58</f>
        <v>26467.23973051117</v>
      </c>
      <c r="U2" s="37">
        <f>BDbDT_calcs!U58</f>
        <v>26742.844421661575</v>
      </c>
      <c r="V2" s="37">
        <f>BDbDT_calcs!V58</f>
        <v>26995.358560690092</v>
      </c>
      <c r="W2" s="37">
        <f>BDbDT_calcs!W58</f>
        <v>27226.043815694196</v>
      </c>
      <c r="X2" s="37">
        <f>BDbDT_calcs!X58</f>
        <v>27433.068688942163</v>
      </c>
      <c r="Y2" s="37">
        <f>BDbDT_calcs!Y58</f>
        <v>27627.44559509134</v>
      </c>
      <c r="Z2" s="37">
        <f>BDbDT_calcs!Z58</f>
        <v>27798.823052417923</v>
      </c>
      <c r="AA2" s="37">
        <f>BDbDT_calcs!AA58</f>
        <v>27948.561735100309</v>
      </c>
      <c r="AB2" s="37">
        <f>BDbDT_calcs!AB58</f>
        <v>28078.864093185697</v>
      </c>
    </row>
    <row r="3" spans="1:28" x14ac:dyDescent="0.25">
      <c r="A3" s="4" t="s">
        <v>216</v>
      </c>
      <c r="B3" s="37">
        <f>BDbDT_calcs!B59</f>
        <v>17703.924979577598</v>
      </c>
      <c r="C3" s="37">
        <f>BDbDT_calcs!C59</f>
        <v>17932.780586415065</v>
      </c>
      <c r="D3" s="37">
        <f>BDbDT_calcs!D59</f>
        <v>18372.090687176122</v>
      </c>
      <c r="E3" s="37">
        <f>BDbDT_calcs!E59</f>
        <v>18825.280539870662</v>
      </c>
      <c r="F3" s="37">
        <f>BDbDT_calcs!F59</f>
        <v>19297.991980449387</v>
      </c>
      <c r="G3" s="37">
        <f>BDbDT_calcs!G59</f>
        <v>19791.67944004323</v>
      </c>
      <c r="H3" s="37">
        <f>BDbDT_calcs!H59</f>
        <v>20308.642283828944</v>
      </c>
      <c r="I3" s="37">
        <f>BDbDT_calcs!I59</f>
        <v>20716.463604238023</v>
      </c>
      <c r="J3" s="37">
        <f>BDbDT_calcs!J59</f>
        <v>21141.948637753176</v>
      </c>
      <c r="K3" s="37">
        <f>BDbDT_calcs!K59</f>
        <v>21579.855317717487</v>
      </c>
      <c r="L3" s="37">
        <f>BDbDT_calcs!L59</f>
        <v>22029.860250645394</v>
      </c>
      <c r="M3" s="37">
        <f>BDbDT_calcs!M59</f>
        <v>22490.737097589692</v>
      </c>
      <c r="N3" s="37">
        <f>BDbDT_calcs!N59</f>
        <v>22957.773033997688</v>
      </c>
      <c r="O3" s="37">
        <f>BDbDT_calcs!O59</f>
        <v>23426.4153737739</v>
      </c>
      <c r="P3" s="37">
        <f>BDbDT_calcs!P59</f>
        <v>23895.640111234494</v>
      </c>
      <c r="Q3" s="37">
        <f>BDbDT_calcs!Q59</f>
        <v>24358.829195080765</v>
      </c>
      <c r="R3" s="37">
        <f>BDbDT_calcs!R59</f>
        <v>24814.031953065096</v>
      </c>
      <c r="S3" s="37">
        <f>BDbDT_calcs!S59</f>
        <v>25234.854633008148</v>
      </c>
      <c r="T3" s="37">
        <f>BDbDT_calcs!T59</f>
        <v>25640.588252145189</v>
      </c>
      <c r="U3" s="37">
        <f>BDbDT_calcs!U59</f>
        <v>26028.656249611864</v>
      </c>
      <c r="V3" s="37">
        <f>BDbDT_calcs!V59</f>
        <v>26392.903681017684</v>
      </c>
      <c r="W3" s="37">
        <f>BDbDT_calcs!W59</f>
        <v>26727.668060129501</v>
      </c>
      <c r="X3" s="37">
        <f>BDbDT_calcs!X59</f>
        <v>27033.965363657026</v>
      </c>
      <c r="Y3" s="37">
        <f>BDbDT_calcs!Y59</f>
        <v>27324.036537145472</v>
      </c>
      <c r="Z3" s="37">
        <f>BDbDT_calcs!Z59</f>
        <v>27585.815741094149</v>
      </c>
      <c r="AA3" s="37">
        <f>BDbDT_calcs!AA59</f>
        <v>27814.611384668122</v>
      </c>
      <c r="AB3" s="37">
        <f>BDbDT_calcs!AB59</f>
        <v>28010.413004462902</v>
      </c>
    </row>
    <row r="4" spans="1:28" x14ac:dyDescent="0.25">
      <c r="A4" s="4" t="s">
        <v>217</v>
      </c>
      <c r="B4" s="37">
        <f>BDbDT_calcs!B60</f>
        <v>33580.62403239603</v>
      </c>
      <c r="C4" s="37">
        <f>BDbDT_calcs!C60</f>
        <v>34053.369654545291</v>
      </c>
      <c r="D4" s="37">
        <f>BDbDT_calcs!D60</f>
        <v>34921.89077347803</v>
      </c>
      <c r="E4" s="37">
        <f>BDbDT_calcs!E60</f>
        <v>35804.702554592455</v>
      </c>
      <c r="F4" s="37">
        <f>BDbDT_calcs!F60</f>
        <v>36709.351323079427</v>
      </c>
      <c r="G4" s="37">
        <f>BDbDT_calcs!G60</f>
        <v>37636.357508438377</v>
      </c>
      <c r="H4" s="37">
        <f>BDbDT_calcs!H60</f>
        <v>38587.490660245472</v>
      </c>
      <c r="I4" s="37">
        <f>BDbDT_calcs!I60</f>
        <v>39310.827510242525</v>
      </c>
      <c r="J4" s="37">
        <f>BDbDT_calcs!J60</f>
        <v>40045.927267267965</v>
      </c>
      <c r="K4" s="37">
        <f>BDbDT_calcs!K60</f>
        <v>40785.805275011924</v>
      </c>
      <c r="L4" s="37">
        <f>BDbDT_calcs!L60</f>
        <v>41528.341867795411</v>
      </c>
      <c r="M4" s="37">
        <f>BDbDT_calcs!M60</f>
        <v>42271.946951199563</v>
      </c>
      <c r="N4" s="37">
        <f>BDbDT_calcs!N60</f>
        <v>43008.934405325497</v>
      </c>
      <c r="O4" s="37">
        <f>BDbDT_calcs!O60</f>
        <v>43734.936059264779</v>
      </c>
      <c r="P4" s="37">
        <f>BDbDT_calcs!P60</f>
        <v>44444.159581355671</v>
      </c>
      <c r="Q4" s="37">
        <f>BDbDT_calcs!Q60</f>
        <v>45130.394187230806</v>
      </c>
      <c r="R4" s="37">
        <f>BDbDT_calcs!R60</f>
        <v>45787.554938085384</v>
      </c>
      <c r="S4" s="37">
        <f>BDbDT_calcs!S60</f>
        <v>46371.334923878167</v>
      </c>
      <c r="T4" s="37">
        <f>BDbDT_calcs!T60</f>
        <v>46918.050420495267</v>
      </c>
      <c r="U4" s="37">
        <f>BDbDT_calcs!U60</f>
        <v>47427.101277039161</v>
      </c>
      <c r="V4" s="37">
        <f>BDbDT_calcs!V60</f>
        <v>47885.246861699619</v>
      </c>
      <c r="W4" s="37">
        <f>BDbDT_calcs!W60</f>
        <v>48288.132740501707</v>
      </c>
      <c r="X4" s="37">
        <f>BDbDT_calcs!X60</f>
        <v>48635.985647548921</v>
      </c>
      <c r="Y4" s="37">
        <f>BDbDT_calcs!Y60</f>
        <v>48952.93187112247</v>
      </c>
      <c r="Z4" s="37">
        <f>BDbDT_calcs!Z60</f>
        <v>49216.45762775925</v>
      </c>
      <c r="AA4" s="37">
        <f>BDbDT_calcs!AA60</f>
        <v>49422.708580275219</v>
      </c>
      <c r="AB4" s="37">
        <f>BDbDT_calcs!AB60</f>
        <v>49575.071104770985</v>
      </c>
    </row>
    <row r="5" spans="1:28" x14ac:dyDescent="0.25">
      <c r="A5" s="4" t="s">
        <v>218</v>
      </c>
      <c r="B5" s="37">
        <f>BDbDT_calcs!B61</f>
        <v>842.31724614917141</v>
      </c>
      <c r="C5" s="37">
        <f>BDbDT_calcs!C61</f>
        <v>852.79243764949865</v>
      </c>
      <c r="D5" s="37">
        <f>BDbDT_calcs!D61</f>
        <v>873.31027524153399</v>
      </c>
      <c r="E5" s="37">
        <f>BDbDT_calcs!E61</f>
        <v>894.12666141194802</v>
      </c>
      <c r="F5" s="37">
        <f>BDbDT_calcs!F61</f>
        <v>915.54061561073161</v>
      </c>
      <c r="G5" s="37">
        <f>BDbDT_calcs!G61</f>
        <v>937.59026907868474</v>
      </c>
      <c r="H5" s="37">
        <f>BDbDT_calcs!H61</f>
        <v>960.26692116546667</v>
      </c>
      <c r="I5" s="37">
        <f>BDbDT_calcs!I61</f>
        <v>977.44650441561669</v>
      </c>
      <c r="J5" s="37">
        <f>BDbDT_calcs!J61</f>
        <v>995.12216114665171</v>
      </c>
      <c r="K5" s="37">
        <f>BDbDT_calcs!K61</f>
        <v>1013.2373058477484</v>
      </c>
      <c r="L5" s="37">
        <f>BDbDT_calcs!L61</f>
        <v>1031.7998128287536</v>
      </c>
      <c r="M5" s="37">
        <f>BDbDT_calcs!M61</f>
        <v>1050.763133289491</v>
      </c>
      <c r="N5" s="37">
        <f>BDbDT_calcs!N61</f>
        <v>1070.1833741577605</v>
      </c>
      <c r="O5" s="37">
        <f>BDbDT_calcs!O61</f>
        <v>1089.7950994199578</v>
      </c>
      <c r="P5" s="37">
        <f>BDbDT_calcs!P61</f>
        <v>1109.7215840393715</v>
      </c>
      <c r="Q5" s="37">
        <f>BDbDT_calcs!Q61</f>
        <v>1129.7406824205141</v>
      </c>
      <c r="R5" s="37">
        <f>BDbDT_calcs!R61</f>
        <v>1149.8262699830748</v>
      </c>
      <c r="S5" s="37">
        <f>BDbDT_calcs!S61</f>
        <v>1168.975397951906</v>
      </c>
      <c r="T5" s="37">
        <f>BDbDT_calcs!T61</f>
        <v>1187.9458534383557</v>
      </c>
      <c r="U5" s="37">
        <f>BDbDT_calcs!U61</f>
        <v>1206.75170955045</v>
      </c>
      <c r="V5" s="37">
        <f>BDbDT_calcs!V61</f>
        <v>1225.247280539824</v>
      </c>
      <c r="W5" s="37">
        <f>BDbDT_calcs!W61</f>
        <v>1243.1976725897321</v>
      </c>
      <c r="X5" s="37">
        <f>BDbDT_calcs!X61</f>
        <v>1260.5089699433588</v>
      </c>
      <c r="Y5" s="37">
        <f>BDbDT_calcs!Y61</f>
        <v>1277.4894654575119</v>
      </c>
      <c r="Z5" s="37">
        <f>BDbDT_calcs!Z61</f>
        <v>1293.7777819389955</v>
      </c>
      <c r="AA5" s="37">
        <f>BDbDT_calcs!AA61</f>
        <v>1309.3502885050029</v>
      </c>
      <c r="AB5" s="37">
        <f>BDbDT_calcs!AB61</f>
        <v>1324.057783131145</v>
      </c>
    </row>
    <row r="6" spans="1:28" x14ac:dyDescent="0.25">
      <c r="A6" s="4" t="s">
        <v>219</v>
      </c>
      <c r="B6" s="37">
        <f>BDbDT_calcs!B62</f>
        <v>1318.1632905125086</v>
      </c>
      <c r="C6" s="37">
        <f>BDbDT_calcs!C62</f>
        <v>1345.6773346617872</v>
      </c>
      <c r="D6" s="37">
        <f>BDbDT_calcs!D62</f>
        <v>1390.1009137131025</v>
      </c>
      <c r="E6" s="37">
        <f>BDbDT_calcs!E62</f>
        <v>1437.2120858384633</v>
      </c>
      <c r="F6" s="37">
        <f>BDbDT_calcs!F62</f>
        <v>1487.5006296356939</v>
      </c>
      <c r="G6" s="37">
        <f>BDbDT_calcs!G62</f>
        <v>1541.0188251572372</v>
      </c>
      <c r="H6" s="37">
        <f>BDbDT_calcs!H62</f>
        <v>1597.9530206013262</v>
      </c>
      <c r="I6" s="37">
        <f>BDbDT_calcs!I62</f>
        <v>1647.9875833262654</v>
      </c>
      <c r="J6" s="37">
        <f>BDbDT_calcs!J62</f>
        <v>1700.2383706374535</v>
      </c>
      <c r="K6" s="37">
        <f>BDbDT_calcs!K62</f>
        <v>1754.391406936114</v>
      </c>
      <c r="L6" s="37">
        <f>BDbDT_calcs!L62</f>
        <v>1810.9199721041293</v>
      </c>
      <c r="M6" s="37">
        <f>BDbDT_calcs!M62</f>
        <v>1869.5022577005454</v>
      </c>
      <c r="N6" s="37">
        <f>BDbDT_calcs!N62</f>
        <v>1929.9272743178958</v>
      </c>
      <c r="O6" s="37">
        <f>BDbDT_calcs!O62</f>
        <v>1991.8790586525574</v>
      </c>
      <c r="P6" s="37">
        <f>BDbDT_calcs!P62</f>
        <v>2055.197984987713</v>
      </c>
      <c r="Q6" s="37">
        <f>BDbDT_calcs!Q62</f>
        <v>2119.5096694399545</v>
      </c>
      <c r="R6" s="37">
        <f>BDbDT_calcs!R62</f>
        <v>2184.6299152077445</v>
      </c>
      <c r="S6" s="37">
        <f>BDbDT_calcs!S62</f>
        <v>2248.2554233667847</v>
      </c>
      <c r="T6" s="37">
        <f>BDbDT_calcs!T62</f>
        <v>2312.2697661973612</v>
      </c>
      <c r="U6" s="37">
        <f>BDbDT_calcs!U62</f>
        <v>2376.1712223203103</v>
      </c>
      <c r="V6" s="37">
        <f>BDbDT_calcs!V62</f>
        <v>2440.0313103726248</v>
      </c>
      <c r="W6" s="37">
        <f>BDbDT_calcs!W62</f>
        <v>2503.678363731975</v>
      </c>
      <c r="X6" s="37">
        <f>BDbDT_calcs!X62</f>
        <v>2567.314305821003</v>
      </c>
      <c r="Y6" s="37">
        <f>BDbDT_calcs!Y62</f>
        <v>2630.7600124301257</v>
      </c>
      <c r="Z6" s="37">
        <f>BDbDT_calcs!Z62</f>
        <v>2694.0833642476441</v>
      </c>
      <c r="AA6" s="37">
        <f>BDbDT_calcs!AA62</f>
        <v>2757.2413618071992</v>
      </c>
      <c r="AB6" s="37">
        <f>BDbDT_calcs!AB62</f>
        <v>2820.0189604103939</v>
      </c>
    </row>
    <row r="7" spans="1:28" x14ac:dyDescent="0.25">
      <c r="A7" s="4" t="s">
        <v>220</v>
      </c>
      <c r="B7" s="37">
        <f>BDbDT_calcs!B63</f>
        <v>1264.9236939320742</v>
      </c>
      <c r="C7" s="37">
        <f>BDbDT_calcs!C63</f>
        <v>1289.5184379864941</v>
      </c>
      <c r="D7" s="37">
        <f>BDbDT_calcs!D63</f>
        <v>1330.5010907833298</v>
      </c>
      <c r="E7" s="37">
        <f>BDbDT_calcs!E63</f>
        <v>1374.5376326286407</v>
      </c>
      <c r="F7" s="37">
        <f>BDbDT_calcs!F63</f>
        <v>1419.4133226093434</v>
      </c>
      <c r="G7" s="37">
        <f>BDbDT_calcs!G63</f>
        <v>1467.1833542926377</v>
      </c>
      <c r="H7" s="37">
        <f>BDbDT_calcs!H63</f>
        <v>1516.5748195154097</v>
      </c>
      <c r="I7" s="37">
        <f>BDbDT_calcs!I63</f>
        <v>1557.4777846544321</v>
      </c>
      <c r="J7" s="37">
        <f>BDbDT_calcs!J63</f>
        <v>1599.4354966450578</v>
      </c>
      <c r="K7" s="37">
        <f>BDbDT_calcs!K63</f>
        <v>1644.1889763072584</v>
      </c>
      <c r="L7" s="37">
        <f>BDbDT_calcs!L63</f>
        <v>1690.1868657563559</v>
      </c>
      <c r="M7" s="37">
        <f>BDbDT_calcs!M63</f>
        <v>1737.9598065948762</v>
      </c>
      <c r="N7" s="37">
        <f>BDbDT_calcs!N63</f>
        <v>1786.7603263281919</v>
      </c>
      <c r="O7" s="37">
        <f>BDbDT_calcs!O63</f>
        <v>1836.7384327846651</v>
      </c>
      <c r="P7" s="37">
        <f>BDbDT_calcs!P63</f>
        <v>1888.3882817060971</v>
      </c>
      <c r="Q7" s="37">
        <f>BDbDT_calcs!Q63</f>
        <v>1941.4777511451371</v>
      </c>
      <c r="R7" s="37">
        <f>BDbDT_calcs!R63</f>
        <v>1995.6472954391343</v>
      </c>
      <c r="S7" s="37">
        <f>BDbDT_calcs!S63</f>
        <v>2048.5390061866419</v>
      </c>
      <c r="T7" s="37">
        <f>BDbDT_calcs!T63</f>
        <v>2102.4088933259563</v>
      </c>
      <c r="U7" s="37">
        <f>BDbDT_calcs!U63</f>
        <v>2156.7102788782295</v>
      </c>
      <c r="V7" s="37">
        <f>BDbDT_calcs!V63</f>
        <v>2210.8184270779866</v>
      </c>
      <c r="W7" s="37">
        <f>BDbDT_calcs!W63</f>
        <v>2266.0807744961799</v>
      </c>
      <c r="X7" s="37">
        <f>BDbDT_calcs!X63</f>
        <v>2321.4090907276209</v>
      </c>
      <c r="Y7" s="37">
        <f>BDbDT_calcs!Y63</f>
        <v>2377.4599718643076</v>
      </c>
      <c r="Z7" s="37">
        <f>BDbDT_calcs!Z63</f>
        <v>2433.318012718109</v>
      </c>
      <c r="AA7" s="37">
        <f>BDbDT_calcs!AA63</f>
        <v>2489.3322066199012</v>
      </c>
      <c r="AB7" s="37">
        <f>BDbDT_calcs!AB63</f>
        <v>2545.8757512800007</v>
      </c>
    </row>
    <row r="8" spans="1:28" x14ac:dyDescent="0.25">
      <c r="A8" s="4" t="s">
        <v>221</v>
      </c>
      <c r="B8" s="37">
        <f>BDbDT_calcs!B64</f>
        <v>2520.0797105134216</v>
      </c>
      <c r="C8" s="37">
        <f>BDbDT_calcs!C64</f>
        <v>2602.1359504099541</v>
      </c>
      <c r="D8" s="37">
        <f>BDbDT_calcs!D64</f>
        <v>2716.9589218959827</v>
      </c>
      <c r="E8" s="37">
        <f>BDbDT_calcs!E64</f>
        <v>2835.6686534659621</v>
      </c>
      <c r="F8" s="37">
        <f>BDbDT_calcs!F64</f>
        <v>2958.3636187242714</v>
      </c>
      <c r="G8" s="37">
        <f>BDbDT_calcs!G64</f>
        <v>3085.4767245839867</v>
      </c>
      <c r="H8" s="37">
        <f>BDbDT_calcs!H64</f>
        <v>3218.1057495204132</v>
      </c>
      <c r="I8" s="37">
        <f>BDbDT_calcs!I64</f>
        <v>3335.3093238062097</v>
      </c>
      <c r="J8" s="37">
        <f>BDbDT_calcs!J64</f>
        <v>3456.1651234389037</v>
      </c>
      <c r="K8" s="37">
        <f>BDbDT_calcs!K64</f>
        <v>3581.5147235199911</v>
      </c>
      <c r="L8" s="37">
        <f>BDbDT_calcs!L64</f>
        <v>3712.023094872191</v>
      </c>
      <c r="M8" s="37">
        <f>BDbDT_calcs!M64</f>
        <v>3846.8398643738446</v>
      </c>
      <c r="N8" s="37">
        <f>BDbDT_calcs!N64</f>
        <v>3987.0197417185495</v>
      </c>
      <c r="O8" s="37">
        <f>BDbDT_calcs!O64</f>
        <v>4131.9601855508909</v>
      </c>
      <c r="P8" s="37">
        <f>BDbDT_calcs!P64</f>
        <v>4281.5337944647099</v>
      </c>
      <c r="Q8" s="37">
        <f>BDbDT_calcs!Q64</f>
        <v>4435.9837899982767</v>
      </c>
      <c r="R8" s="37">
        <f>BDbDT_calcs!R64</f>
        <v>4594.4676727137148</v>
      </c>
      <c r="S8" s="37">
        <f>BDbDT_calcs!S64</f>
        <v>4752.9223325313396</v>
      </c>
      <c r="T8" s="37">
        <f>BDbDT_calcs!T64</f>
        <v>4915.1579613480499</v>
      </c>
      <c r="U8" s="37">
        <f>BDbDT_calcs!U64</f>
        <v>5080.880915799723</v>
      </c>
      <c r="V8" s="37">
        <f>BDbDT_calcs!V64</f>
        <v>5249.4425146075628</v>
      </c>
      <c r="W8" s="37">
        <f>BDbDT_calcs!W64</f>
        <v>5420.1369133741237</v>
      </c>
      <c r="X8" s="37">
        <f>BDbDT_calcs!X64</f>
        <v>5593.6337117948651</v>
      </c>
      <c r="Y8" s="37">
        <f>BDbDT_calcs!Y64</f>
        <v>5768.8210465893208</v>
      </c>
      <c r="Z8" s="37">
        <f>BDbDT_calcs!Z64</f>
        <v>5945.6219384399819</v>
      </c>
      <c r="AA8" s="37">
        <f>BDbDT_calcs!AA64</f>
        <v>6122.6944027326545</v>
      </c>
      <c r="AB8" s="37">
        <f>BDbDT_calcs!AB64</f>
        <v>6299.8493595572727</v>
      </c>
    </row>
    <row r="9" spans="1:28" x14ac:dyDescent="0.25">
      <c r="A9" s="4" t="s">
        <v>222</v>
      </c>
      <c r="B9" s="37">
        <f>BDbDT_calcs!B65</f>
        <v>35189.88407521051</v>
      </c>
      <c r="C9" s="37">
        <f>BDbDT_calcs!C65</f>
        <v>35631.672290335446</v>
      </c>
      <c r="D9" s="37">
        <f>BDbDT_calcs!D65</f>
        <v>36487.544680964835</v>
      </c>
      <c r="E9" s="37">
        <f>BDbDT_calcs!E65</f>
        <v>37358.721084144949</v>
      </c>
      <c r="F9" s="37">
        <f>BDbDT_calcs!F65</f>
        <v>38252.832725611122</v>
      </c>
      <c r="G9" s="37">
        <f>BDbDT_calcs!G65</f>
        <v>39171.520616118221</v>
      </c>
      <c r="H9" s="37">
        <f>BDbDT_calcs!H65</f>
        <v>40114.262102264729</v>
      </c>
      <c r="I9" s="37">
        <f>BDbDT_calcs!I65</f>
        <v>40819.901822906468</v>
      </c>
      <c r="J9" s="37">
        <f>BDbDT_calcs!J65</f>
        <v>41537.948329682717</v>
      </c>
      <c r="K9" s="37">
        <f>BDbDT_calcs!K65</f>
        <v>42261.318595352255</v>
      </c>
      <c r="L9" s="37">
        <f>BDbDT_calcs!L65</f>
        <v>42986.700380862916</v>
      </c>
      <c r="M9" s="37">
        <f>BDbDT_calcs!M65</f>
        <v>43713.45140918182</v>
      </c>
      <c r="N9" s="37">
        <f>BDbDT_calcs!N65</f>
        <v>44432.573979007626</v>
      </c>
      <c r="O9" s="37">
        <f>BDbDT_calcs!O65</f>
        <v>45139.006579156332</v>
      </c>
      <c r="P9" s="37">
        <f>BDbDT_calcs!P65</f>
        <v>45828.392835353734</v>
      </c>
      <c r="Q9" s="37">
        <f>BDbDT_calcs!Q65</f>
        <v>46492.74919123439</v>
      </c>
      <c r="R9" s="37">
        <f>BDbDT_calcs!R65</f>
        <v>47126.906872633408</v>
      </c>
      <c r="S9" s="37">
        <f>BDbDT_calcs!S65</f>
        <v>47684.850803622678</v>
      </c>
      <c r="T9" s="37">
        <f>BDbDT_calcs!T65</f>
        <v>48203.518775908669</v>
      </c>
      <c r="U9" s="37">
        <f>BDbDT_calcs!U65</f>
        <v>48681.819401077446</v>
      </c>
      <c r="V9" s="37">
        <f>BDbDT_calcs!V65</f>
        <v>49107.125745704121</v>
      </c>
      <c r="W9" s="37">
        <f>BDbDT_calcs!W65</f>
        <v>49475.720586552088</v>
      </c>
      <c r="X9" s="37">
        <f>BDbDT_calcs!X65</f>
        <v>49785.875888931223</v>
      </c>
      <c r="Y9" s="37">
        <f>BDbDT_calcs!Y65</f>
        <v>50063.474250352767</v>
      </c>
      <c r="Z9" s="37">
        <f>BDbDT_calcs!Z65</f>
        <v>50285.078468287313</v>
      </c>
      <c r="AA9" s="37">
        <f>BDbDT_calcs!AA65</f>
        <v>50448.938180749261</v>
      </c>
      <c r="AB9" s="37">
        <f>BDbDT_calcs!AB65</f>
        <v>50557.594490740514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2026-08-17T20:29:28Z</dcterms:modified>
</cp:coreProperties>
</file>