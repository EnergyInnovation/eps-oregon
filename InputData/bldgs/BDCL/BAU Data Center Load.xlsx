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R\bldgs\BDCL\"/>
    </mc:Choice>
  </mc:AlternateContent>
  <xr:revisionPtr revIDLastSave="0" documentId="8_{75F8896A-0884-4DD1-B418-FBD1741AE69F}"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I166" i="10"/>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D166" i="10"/>
  <c r="E166" i="10" s="1"/>
  <c r="F166" i="10" s="1"/>
  <c r="G166" i="10" s="1"/>
  <c r="H166" i="10" s="1"/>
  <c r="C166" i="10"/>
  <c r="B166" i="10"/>
  <c r="AC165" i="10"/>
  <c r="D165" i="10"/>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165" i="10"/>
  <c r="B165" i="10"/>
  <c r="AC160" i="10"/>
  <c r="I160" i="10"/>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H160" i="10"/>
  <c r="B160" i="10"/>
  <c r="C160" i="10" s="1"/>
  <c r="D160" i="10" s="1"/>
  <c r="E160" i="10" s="1"/>
  <c r="F160" i="10" s="1"/>
  <c r="G160" i="10" s="1"/>
  <c r="AC159" i="10"/>
  <c r="H159" i="10"/>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C159" i="10"/>
  <c r="D159" i="10" s="1"/>
  <c r="E159" i="10" s="1"/>
  <c r="F159" i="10" s="1"/>
  <c r="G159" i="10" s="1"/>
  <c r="B159" i="10"/>
  <c r="G158" i="10"/>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E158" i="10" s="1"/>
  <c r="F158" i="10" s="1"/>
  <c r="C158" i="10"/>
  <c r="AC157" i="10"/>
  <c r="B157" i="10"/>
  <c r="C157" i="10" s="1"/>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AC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AC155" i="10"/>
  <c r="C155" i="10" s="1"/>
  <c r="D155" i="10"/>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G153" i="10"/>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D153" i="10"/>
  <c r="E153" i="10" s="1"/>
  <c r="F153" i="10" s="1"/>
  <c r="C153" i="10"/>
  <c r="B153" i="10"/>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C151" i="10" s="1"/>
  <c r="E151" i="10"/>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D151" i="10"/>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C147" i="10" s="1"/>
  <c r="D147" i="10" s="1"/>
  <c r="E147" i="10" s="1"/>
  <c r="F147" i="10" s="1"/>
  <c r="G147" i="10" s="1"/>
  <c r="H147" i="10" s="1"/>
  <c r="I147" i="10" s="1"/>
  <c r="J147" i="10" s="1"/>
  <c r="K147" i="10" s="1"/>
  <c r="L147" i="10"/>
  <c r="M147" i="10" s="1"/>
  <c r="N147" i="10" s="1"/>
  <c r="O147" i="10" s="1"/>
  <c r="P147" i="10" s="1"/>
  <c r="Q147" i="10" s="1"/>
  <c r="R147" i="10" s="1"/>
  <c r="S147" i="10" s="1"/>
  <c r="T147" i="10" s="1"/>
  <c r="U147" i="10" s="1"/>
  <c r="V147" i="10" s="1"/>
  <c r="W147" i="10" s="1"/>
  <c r="X147" i="10" s="1"/>
  <c r="Y147" i="10" s="1"/>
  <c r="Z147" i="10" s="1"/>
  <c r="AA147" i="10" s="1"/>
  <c r="AB147" i="10" s="1"/>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AC143" i="10"/>
  <c r="C143" i="10" s="1"/>
  <c r="E143" i="10"/>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D143" i="10"/>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E141" i="10"/>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D141" i="10" s="1"/>
  <c r="B141" i="10"/>
  <c r="AC140" i="10"/>
  <c r="C140" i="10" s="1"/>
  <c r="D140" i="10"/>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F139" i="10"/>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E139" i="10"/>
  <c r="B139" i="10"/>
  <c r="C139" i="10" s="1"/>
  <c r="D139" i="10" s="1"/>
  <c r="AC138" i="10"/>
  <c r="E138" i="10"/>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8" i="10"/>
  <c r="D138" i="10" s="1"/>
  <c r="B138" i="10"/>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C135" i="10" s="1"/>
  <c r="W135" i="10"/>
  <c r="X135" i="10" s="1"/>
  <c r="Y135" i="10" s="1"/>
  <c r="Z135" i="10" s="1"/>
  <c r="AA135" i="10" s="1"/>
  <c r="AB135" i="10" s="1"/>
  <c r="D135" i="10"/>
  <c r="E135" i="10" s="1"/>
  <c r="F135" i="10" s="1"/>
  <c r="G135" i="10" s="1"/>
  <c r="H135" i="10" s="1"/>
  <c r="I135" i="10" s="1"/>
  <c r="J135" i="10" s="1"/>
  <c r="K135" i="10" s="1"/>
  <c r="L135" i="10" s="1"/>
  <c r="M135" i="10" s="1"/>
  <c r="N135" i="10" s="1"/>
  <c r="O135" i="10" s="1"/>
  <c r="P135" i="10" s="1"/>
  <c r="Q135" i="10" s="1"/>
  <c r="R135" i="10" s="1"/>
  <c r="S135" i="10" s="1"/>
  <c r="T135" i="10" s="1"/>
  <c r="U135" i="10" s="1"/>
  <c r="V135" i="10" s="1"/>
  <c r="B135" i="10"/>
  <c r="AC134" i="10"/>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C133" i="10" s="1"/>
  <c r="D133" i="10" s="1"/>
  <c r="E133" i="10" s="1"/>
  <c r="F133" i="10" s="1"/>
  <c r="G133" i="10" s="1"/>
  <c r="H133" i="10" s="1"/>
  <c r="I133" i="10" s="1"/>
  <c r="J133" i="10" s="1"/>
  <c r="K133" i="10" s="1"/>
  <c r="L133" i="10" s="1"/>
  <c r="M133" i="10" s="1"/>
  <c r="N133" i="10" s="1"/>
  <c r="O133" i="10" s="1"/>
  <c r="P133" i="10"/>
  <c r="Q133" i="10" s="1"/>
  <c r="R133" i="10" s="1"/>
  <c r="S133" i="10" s="1"/>
  <c r="T133" i="10" s="1"/>
  <c r="U133" i="10" s="1"/>
  <c r="V133" i="10" s="1"/>
  <c r="W133" i="10" s="1"/>
  <c r="X133" i="10" s="1"/>
  <c r="Y133" i="10" s="1"/>
  <c r="Z133" i="10" s="1"/>
  <c r="AA133" i="10" s="1"/>
  <c r="AB133" i="10" s="1"/>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B130" i="10"/>
  <c r="AC129" i="10"/>
  <c r="C129" i="10" s="1"/>
  <c r="D129" i="10" s="1"/>
  <c r="E129" i="10" s="1"/>
  <c r="F129" i="10" s="1"/>
  <c r="G129" i="10" s="1"/>
  <c r="H129" i="10" s="1"/>
  <c r="I129" i="10" s="1"/>
  <c r="J129" i="10"/>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C127" i="10" s="1"/>
  <c r="AC126" i="10"/>
  <c r="B126" i="10"/>
  <c r="AC125" i="10"/>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B125" i="10"/>
  <c r="AC124" i="10"/>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B122" i="10"/>
  <c r="AC121" i="10"/>
  <c r="D121" i="10"/>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121" i="10"/>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AC116" i="10"/>
  <c r="J116" i="10"/>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C116" i="10" s="1"/>
  <c r="D116" i="10" s="1"/>
  <c r="E116" i="10" s="1"/>
  <c r="F116" i="10" s="1"/>
  <c r="G116" i="10" s="1"/>
  <c r="H116" i="10" s="1"/>
  <c r="I116" i="10" s="1"/>
  <c r="AC115" i="10"/>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AC114" i="10"/>
  <c r="F114" i="10"/>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14" i="10"/>
  <c r="D114" i="10" s="1"/>
  <c r="E114" i="10" s="1"/>
  <c r="B114" i="10"/>
  <c r="AC113" i="10"/>
  <c r="B113" i="10"/>
  <c r="AC108"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C107" i="10" s="1"/>
  <c r="D107" i="10"/>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E106" i="10"/>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D106" i="10" s="1"/>
  <c r="AC105" i="10"/>
  <c r="B105" i="10"/>
  <c r="AC104"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B99" i="10"/>
  <c r="C99" i="10" s="1"/>
  <c r="AC98" i="10"/>
  <c r="J98" i="10"/>
  <c r="K98" i="10" s="1"/>
  <c r="L98" i="10" s="1"/>
  <c r="M98" i="10" s="1"/>
  <c r="N98" i="10" s="1"/>
  <c r="O98" i="10" s="1"/>
  <c r="P98" i="10" s="1"/>
  <c r="Q98" i="10" s="1"/>
  <c r="R98" i="10" s="1"/>
  <c r="S98" i="10" s="1"/>
  <c r="T98" i="10" s="1"/>
  <c r="U98" i="10" s="1"/>
  <c r="V98" i="10" s="1"/>
  <c r="W98" i="10" s="1"/>
  <c r="X98" i="10" s="1"/>
  <c r="Y98" i="10" s="1"/>
  <c r="Z98" i="10" s="1"/>
  <c r="AA98" i="10" s="1"/>
  <c r="AB98" i="10" s="1"/>
  <c r="E98" i="10"/>
  <c r="F98" i="10" s="1"/>
  <c r="G98" i="10" s="1"/>
  <c r="H98" i="10" s="1"/>
  <c r="I98" i="10" s="1"/>
  <c r="B98" i="10"/>
  <c r="C98" i="10" s="1"/>
  <c r="D98" i="10" s="1"/>
  <c r="AC97" i="10"/>
  <c r="B97" i="10"/>
  <c r="AC96" i="10"/>
  <c r="C96" i="10" s="1"/>
  <c r="D96" i="10" s="1"/>
  <c r="E96" i="10" s="1"/>
  <c r="F96" i="10"/>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D95" i="10"/>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C95" i="10" s="1"/>
  <c r="AC94" i="10"/>
  <c r="B94" i="10"/>
  <c r="C94" i="10" s="1"/>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B92" i="10"/>
  <c r="AC91" i="10"/>
  <c r="F91" i="10"/>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C91" i="10" s="1"/>
  <c r="D91" i="10" s="1"/>
  <c r="E91" i="10" s="1"/>
  <c r="AC90" i="10"/>
  <c r="B90" i="10"/>
  <c r="C90" i="10" s="1"/>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89" i="10"/>
  <c r="M89" i="10"/>
  <c r="N89" i="10" s="1"/>
  <c r="O89" i="10" s="1"/>
  <c r="P89" i="10" s="1"/>
  <c r="Q89" i="10" s="1"/>
  <c r="R89" i="10" s="1"/>
  <c r="S89" i="10" s="1"/>
  <c r="T89" i="10" s="1"/>
  <c r="U89" i="10" s="1"/>
  <c r="V89" i="10" s="1"/>
  <c r="W89" i="10" s="1"/>
  <c r="X89" i="10" s="1"/>
  <c r="Y89" i="10" s="1"/>
  <c r="Z89" i="10" s="1"/>
  <c r="AA89" i="10" s="1"/>
  <c r="AB89" i="10" s="1"/>
  <c r="C89" i="10"/>
  <c r="D89" i="10" s="1"/>
  <c r="E89" i="10" s="1"/>
  <c r="F89" i="10" s="1"/>
  <c r="G89" i="10" s="1"/>
  <c r="H89" i="10" s="1"/>
  <c r="I89" i="10" s="1"/>
  <c r="J89" i="10" s="1"/>
  <c r="K89" i="10" s="1"/>
  <c r="L89" i="10" s="1"/>
  <c r="B89" i="10"/>
  <c r="AC88" i="10"/>
  <c r="B88" i="10"/>
  <c r="C88" i="10" s="1"/>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D85" i="10"/>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C85" i="10"/>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C83" i="10" s="1"/>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AC82" i="10"/>
  <c r="B82" i="10"/>
  <c r="AC81" i="10"/>
  <c r="B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D79" i="10"/>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C79" i="10" s="1"/>
  <c r="AC78" i="10"/>
  <c r="C78" i="10"/>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B78" i="10"/>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C76" i="10" s="1"/>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AC75" i="10"/>
  <c r="B75" i="10"/>
  <c r="AC74" i="10"/>
  <c r="B74" i="10"/>
  <c r="C74" i="10" s="1"/>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I72" i="10"/>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C72" i="10" s="1"/>
  <c r="D72" i="10" s="1"/>
  <c r="E72" i="10" s="1"/>
  <c r="F72" i="10" s="1"/>
  <c r="G72" i="10" s="1"/>
  <c r="H72" i="10" s="1"/>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D67" i="10"/>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C67" i="10"/>
  <c r="B67" i="10"/>
  <c r="AC66" i="10"/>
  <c r="G66" i="10"/>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F66" i="10"/>
  <c r="C66" i="10"/>
  <c r="D66" i="10" s="1"/>
  <c r="E66" i="10" s="1"/>
  <c r="B66" i="10"/>
  <c r="AC65" i="10"/>
  <c r="F65" i="10"/>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E65" i="10"/>
  <c r="B65" i="10"/>
  <c r="C65" i="10" s="1"/>
  <c r="D65" i="10" s="1"/>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C63" i="10" s="1"/>
  <c r="D63" i="10" s="1"/>
  <c r="E63" i="10" s="1"/>
  <c r="F63" i="10" s="1"/>
  <c r="G63" i="10" s="1"/>
  <c r="H63" i="10" s="1"/>
  <c r="I63" i="10" s="1"/>
  <c r="J63" i="10"/>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C61" i="10" s="1"/>
  <c r="D61" i="10"/>
  <c r="E61" i="10" s="1"/>
  <c r="B61" i="10"/>
  <c r="AC56" i="10"/>
  <c r="W56" i="10"/>
  <c r="X56" i="10" s="1"/>
  <c r="Y56" i="10" s="1"/>
  <c r="Z56" i="10" s="1"/>
  <c r="AA56" i="10" s="1"/>
  <c r="AB56" i="10" s="1"/>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B56" i="10"/>
  <c r="AC55" i="10"/>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C52" i="10"/>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AC51" i="10"/>
  <c r="B51" i="10"/>
  <c r="AC50" i="10"/>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AC48" i="10"/>
  <c r="C48" i="10" s="1"/>
  <c r="D48" i="10" s="1"/>
  <c r="E48" i="10"/>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D46" i="10"/>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46" i="10"/>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C44" i="10" s="1"/>
  <c r="D44" i="10" s="1"/>
  <c r="E44" i="10" s="1"/>
  <c r="F44" i="10" s="1"/>
  <c r="G44" i="10" s="1"/>
  <c r="H44" i="10" s="1"/>
  <c r="I44" i="10" s="1"/>
  <c r="J44" i="10" s="1"/>
  <c r="K44" i="10" s="1"/>
  <c r="L44" i="10" s="1"/>
  <c r="M44" i="10" s="1"/>
  <c r="N44" i="10" s="1"/>
  <c r="O44" i="10" s="1"/>
  <c r="P44" i="10"/>
  <c r="Q44" i="10" s="1"/>
  <c r="R44" i="10" s="1"/>
  <c r="S44" i="10" s="1"/>
  <c r="T44" i="10" s="1"/>
  <c r="U44" i="10" s="1"/>
  <c r="V44" i="10" s="1"/>
  <c r="W44" i="10" s="1"/>
  <c r="X44" i="10" s="1"/>
  <c r="Y44" i="10" s="1"/>
  <c r="Z44" i="10" s="1"/>
  <c r="AA44" i="10" s="1"/>
  <c r="AB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C42" i="10" s="1"/>
  <c r="AC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c r="B41" i="10"/>
  <c r="AC40" i="10"/>
  <c r="K40" i="10"/>
  <c r="L40" i="10" s="1"/>
  <c r="M40" i="10" s="1"/>
  <c r="N40" i="10" s="1"/>
  <c r="O40" i="10" s="1"/>
  <c r="P40" i="10" s="1"/>
  <c r="Q40" i="10" s="1"/>
  <c r="R40" i="10" s="1"/>
  <c r="S40" i="10" s="1"/>
  <c r="T40" i="10" s="1"/>
  <c r="U40" i="10" s="1"/>
  <c r="V40" i="10" s="1"/>
  <c r="W40" i="10" s="1"/>
  <c r="X40" i="10" s="1"/>
  <c r="Y40" i="10" s="1"/>
  <c r="Z40" i="10" s="1"/>
  <c r="AA40" i="10" s="1"/>
  <c r="AB40" i="10" s="1"/>
  <c r="C40" i="10"/>
  <c r="D40" i="10" s="1"/>
  <c r="E40" i="10" s="1"/>
  <c r="F40" i="10" s="1"/>
  <c r="G40" i="10" s="1"/>
  <c r="H40" i="10" s="1"/>
  <c r="I40" i="10" s="1"/>
  <c r="J40" i="10" s="1"/>
  <c r="B40" i="10"/>
  <c r="AC39" i="10"/>
  <c r="E39" i="10"/>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C39" i="10" s="1"/>
  <c r="D39" i="10" s="1"/>
  <c r="AC38" i="10"/>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B33" i="10"/>
  <c r="AC32" i="10"/>
  <c r="B32" i="10"/>
  <c r="AC31" i="10"/>
  <c r="G31" i="10"/>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D31" i="10"/>
  <c r="E31" i="10" s="1"/>
  <c r="F31" i="10" s="1"/>
  <c r="C31" i="10"/>
  <c r="B31" i="10"/>
  <c r="AC30"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D27" i="10"/>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C27" i="10"/>
  <c r="B27" i="10"/>
  <c r="AC26" i="10"/>
  <c r="F26" i="10"/>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E26" i="10"/>
  <c r="D26" i="10"/>
  <c r="C26" i="10"/>
  <c r="B26" i="10"/>
  <c r="AC25" i="10"/>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B25" i="10"/>
  <c r="AC24" i="10"/>
  <c r="C24" i="10" s="1"/>
  <c r="D24" i="10" s="1"/>
  <c r="E24" i="10" s="1"/>
  <c r="F24" i="10" s="1"/>
  <c r="G24" i="10" s="1"/>
  <c r="H24" i="10" s="1"/>
  <c r="I24" i="10" s="1"/>
  <c r="J24" i="10" s="1"/>
  <c r="K24" i="10" s="1"/>
  <c r="L24" i="10" s="1"/>
  <c r="M24" i="10" s="1"/>
  <c r="N24" i="10" s="1"/>
  <c r="O24" i="10" s="1"/>
  <c r="P24" i="10" s="1"/>
  <c r="Q24" i="10" s="1"/>
  <c r="R24" i="10" s="1"/>
  <c r="S24" i="10" s="1"/>
  <c r="T24" i="10" s="1"/>
  <c r="U24" i="10"/>
  <c r="V24" i="10" s="1"/>
  <c r="W24" i="10" s="1"/>
  <c r="X24" i="10" s="1"/>
  <c r="Y24" i="10" s="1"/>
  <c r="Z24" i="10" s="1"/>
  <c r="AA24" i="10" s="1"/>
  <c r="AB24" i="10" s="1"/>
  <c r="B24" i="10"/>
  <c r="AC23" i="10"/>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B21" i="10"/>
  <c r="AC20" i="10"/>
  <c r="C20" i="10" s="1"/>
  <c r="D20" i="10"/>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I13" i="10"/>
  <c r="J13" i="10" s="1"/>
  <c r="K13" i="10" s="1"/>
  <c r="L13" i="10" s="1"/>
  <c r="M13" i="10" s="1"/>
  <c r="N13" i="10" s="1"/>
  <c r="O13" i="10" s="1"/>
  <c r="P13" i="10" s="1"/>
  <c r="Q13" i="10" s="1"/>
  <c r="R13" i="10" s="1"/>
  <c r="S13" i="10" s="1"/>
  <c r="T13" i="10" s="1"/>
  <c r="U13" i="10" s="1"/>
  <c r="V13" i="10" s="1"/>
  <c r="W13" i="10" s="1"/>
  <c r="X13" i="10" s="1"/>
  <c r="Y13" i="10" s="1"/>
  <c r="Z13" i="10" s="1"/>
  <c r="AA13" i="10" s="1"/>
  <c r="AB13" i="10" s="1"/>
  <c r="F13" i="10"/>
  <c r="G13" i="10" s="1"/>
  <c r="H13" i="10" s="1"/>
  <c r="D13" i="10"/>
  <c r="E13" i="10" s="1"/>
  <c r="C13" i="10"/>
  <c r="B13" i="10"/>
  <c r="AC12" i="10"/>
  <c r="R12" i="10"/>
  <c r="S12" i="10" s="1"/>
  <c r="T12" i="10" s="1"/>
  <c r="U12" i="10" s="1"/>
  <c r="V12" i="10" s="1"/>
  <c r="W12" i="10" s="1"/>
  <c r="X12" i="10" s="1"/>
  <c r="Y12" i="10" s="1"/>
  <c r="Z12" i="10" s="1"/>
  <c r="AA12" i="10" s="1"/>
  <c r="AB12" i="10" s="1"/>
  <c r="B12" i="10"/>
  <c r="C12" i="10" s="1"/>
  <c r="D12" i="10" s="1"/>
  <c r="E12" i="10" s="1"/>
  <c r="F12" i="10" s="1"/>
  <c r="G12" i="10" s="1"/>
  <c r="H12" i="10" s="1"/>
  <c r="I12" i="10" s="1"/>
  <c r="J12" i="10" s="1"/>
  <c r="K12" i="10" s="1"/>
  <c r="L12" i="10" s="1"/>
  <c r="M12" i="10" s="1"/>
  <c r="N12" i="10" s="1"/>
  <c r="O12" i="10" s="1"/>
  <c r="P12" i="10" s="1"/>
  <c r="Q12" i="10" s="1"/>
  <c r="AC11" i="10"/>
  <c r="B11" i="10"/>
  <c r="AC10" i="10"/>
  <c r="B10" i="10"/>
  <c r="AC9" i="10"/>
  <c r="C9" i="10"/>
  <c r="B9" i="10"/>
  <c r="B4" i="10"/>
  <c r="C9" i="9"/>
  <c r="B9" i="9"/>
  <c r="A9" i="9"/>
  <c r="B1" i="9"/>
  <c r="F54" i="7"/>
  <c r="E54" i="7"/>
  <c r="D54" i="7"/>
  <c r="C54" i="7"/>
  <c r="H53" i="7"/>
  <c r="F53" i="7"/>
  <c r="G53" i="7" s="1"/>
  <c r="E53" i="7"/>
  <c r="D53" i="7"/>
  <c r="C53" i="7"/>
  <c r="H52" i="7"/>
  <c r="G52" i="7"/>
  <c r="F52" i="7"/>
  <c r="E52" i="7"/>
  <c r="D52" i="7"/>
  <c r="C52" i="7"/>
  <c r="F51" i="7"/>
  <c r="E51" i="7"/>
  <c r="D51" i="7"/>
  <c r="C51" i="7"/>
  <c r="F50" i="7"/>
  <c r="E50" i="7"/>
  <c r="D50" i="7"/>
  <c r="H50" i="7" s="1"/>
  <c r="C50" i="7"/>
  <c r="H49" i="7"/>
  <c r="F49" i="7"/>
  <c r="E49" i="7"/>
  <c r="D49" i="7"/>
  <c r="G49" i="7" s="1"/>
  <c r="C49" i="7"/>
  <c r="F48" i="7"/>
  <c r="G48" i="7" s="1"/>
  <c r="E48" i="7"/>
  <c r="D48" i="7"/>
  <c r="C48" i="7"/>
  <c r="F47" i="7"/>
  <c r="E47" i="7"/>
  <c r="H47" i="7" s="1"/>
  <c r="D47" i="7"/>
  <c r="C47" i="7"/>
  <c r="F46" i="7"/>
  <c r="G46" i="7" s="1"/>
  <c r="E46" i="7"/>
  <c r="H46" i="7" s="1"/>
  <c r="D46" i="7"/>
  <c r="C46" i="7"/>
  <c r="F45" i="7"/>
  <c r="E45" i="7"/>
  <c r="D45" i="7"/>
  <c r="C45" i="7"/>
  <c r="H45" i="7" s="1"/>
  <c r="H44" i="7"/>
  <c r="G44" i="7"/>
  <c r="F44" i="7"/>
  <c r="E44" i="7"/>
  <c r="D44" i="7"/>
  <c r="C44" i="7"/>
  <c r="F43" i="7"/>
  <c r="E43" i="7"/>
  <c r="D43" i="7"/>
  <c r="C43" i="7"/>
  <c r="F42" i="7"/>
  <c r="E42" i="7"/>
  <c r="D42" i="7"/>
  <c r="C42" i="7"/>
  <c r="H42" i="7" s="1"/>
  <c r="H41" i="7"/>
  <c r="F41" i="7"/>
  <c r="E41" i="7"/>
  <c r="D41" i="7"/>
  <c r="C41" i="7"/>
  <c r="G41" i="7" s="1"/>
  <c r="F40" i="7"/>
  <c r="E40" i="7"/>
  <c r="H40" i="7" s="1"/>
  <c r="D40" i="7"/>
  <c r="C40" i="7"/>
  <c r="F39" i="7"/>
  <c r="E39" i="7"/>
  <c r="D39" i="7"/>
  <c r="C39" i="7"/>
  <c r="F38" i="7"/>
  <c r="E38" i="7"/>
  <c r="D38" i="7"/>
  <c r="G38" i="7" s="1"/>
  <c r="C38" i="7"/>
  <c r="F37" i="7"/>
  <c r="G37" i="7" s="1"/>
  <c r="E37" i="7"/>
  <c r="D37" i="7"/>
  <c r="C37" i="7"/>
  <c r="F36" i="7"/>
  <c r="E36" i="7"/>
  <c r="H36" i="7" s="1"/>
  <c r="D36" i="7"/>
  <c r="C36" i="7"/>
  <c r="F35" i="7"/>
  <c r="E35" i="7"/>
  <c r="D35" i="7"/>
  <c r="C35" i="7"/>
  <c r="F34" i="7"/>
  <c r="E34" i="7"/>
  <c r="D34" i="7"/>
  <c r="C34" i="7"/>
  <c r="F33" i="7"/>
  <c r="E33" i="7"/>
  <c r="D33" i="7"/>
  <c r="G33" i="7" s="1"/>
  <c r="C33" i="7"/>
  <c r="F32" i="7"/>
  <c r="E32" i="7"/>
  <c r="H32" i="7" s="1"/>
  <c r="D32" i="7"/>
  <c r="C32" i="7"/>
  <c r="F31" i="7"/>
  <c r="E31" i="7"/>
  <c r="D31" i="7"/>
  <c r="H31" i="7" s="1"/>
  <c r="C31" i="7"/>
  <c r="F30" i="7"/>
  <c r="E30" i="7"/>
  <c r="D30" i="7"/>
  <c r="C30" i="7"/>
  <c r="F29" i="7"/>
  <c r="G29" i="7" s="1"/>
  <c r="E29" i="7"/>
  <c r="H29" i="7" s="1"/>
  <c r="D29" i="7"/>
  <c r="C29" i="7"/>
  <c r="H28" i="7"/>
  <c r="F28" i="7"/>
  <c r="E28" i="7"/>
  <c r="D28" i="7"/>
  <c r="C28" i="7"/>
  <c r="F27" i="7"/>
  <c r="E27" i="7"/>
  <c r="D27" i="7"/>
  <c r="G27" i="7" s="1"/>
  <c r="C27" i="7"/>
  <c r="F26" i="7"/>
  <c r="E26" i="7"/>
  <c r="D26" i="7"/>
  <c r="C26" i="7"/>
  <c r="F25" i="7"/>
  <c r="G25" i="7" s="1"/>
  <c r="E25" i="7"/>
  <c r="D25" i="7"/>
  <c r="C25" i="7"/>
  <c r="F24" i="7"/>
  <c r="E24" i="7"/>
  <c r="D24" i="7"/>
  <c r="C24" i="7"/>
  <c r="F23" i="7"/>
  <c r="E23" i="7"/>
  <c r="D23" i="7"/>
  <c r="C23" i="7"/>
  <c r="H23" i="7" s="1"/>
  <c r="F22" i="7"/>
  <c r="E22" i="7"/>
  <c r="D22" i="7"/>
  <c r="C22" i="7"/>
  <c r="H21" i="7"/>
  <c r="F21" i="7"/>
  <c r="E21" i="7"/>
  <c r="D21" i="7"/>
  <c r="G21" i="7" s="1"/>
  <c r="C21" i="7"/>
  <c r="F20" i="7"/>
  <c r="E20" i="7"/>
  <c r="D20" i="7"/>
  <c r="C20" i="7"/>
  <c r="G20" i="7" s="1"/>
  <c r="F19" i="7"/>
  <c r="E19" i="7"/>
  <c r="D19" i="7"/>
  <c r="G19" i="7" s="1"/>
  <c r="C19" i="7"/>
  <c r="F18" i="7"/>
  <c r="E18" i="7"/>
  <c r="D18" i="7"/>
  <c r="C18" i="7"/>
  <c r="F17" i="7"/>
  <c r="E17" i="7"/>
  <c r="D17" i="7"/>
  <c r="C17" i="7"/>
  <c r="H16" i="7"/>
  <c r="F16" i="7"/>
  <c r="E16" i="7"/>
  <c r="D16" i="7"/>
  <c r="C16" i="7"/>
  <c r="G16" i="7" s="1"/>
  <c r="F15" i="7"/>
  <c r="E15" i="7"/>
  <c r="D15" i="7"/>
  <c r="G15" i="7" s="1"/>
  <c r="C15" i="7"/>
  <c r="F14" i="7"/>
  <c r="E14" i="7"/>
  <c r="H14" i="7" s="1"/>
  <c r="D14" i="7"/>
  <c r="C14" i="7"/>
  <c r="H13" i="7"/>
  <c r="F13" i="7"/>
  <c r="E13" i="7"/>
  <c r="D13" i="7"/>
  <c r="C13" i="7"/>
  <c r="H12" i="7"/>
  <c r="F12" i="7"/>
  <c r="E12" i="7"/>
  <c r="D12" i="7"/>
  <c r="C12" i="7"/>
  <c r="G12" i="7" s="1"/>
  <c r="F11" i="7"/>
  <c r="E11" i="7"/>
  <c r="D11" i="7"/>
  <c r="G11" i="7" s="1"/>
  <c r="C11" i="7"/>
  <c r="H10" i="7"/>
  <c r="G10" i="7"/>
  <c r="F10" i="7"/>
  <c r="E10" i="7"/>
  <c r="D10" i="7"/>
  <c r="C10" i="7"/>
  <c r="H9" i="7"/>
  <c r="F9" i="7"/>
  <c r="E9" i="7"/>
  <c r="D9" i="7"/>
  <c r="C9" i="7"/>
  <c r="F8" i="7"/>
  <c r="E8" i="7"/>
  <c r="D8" i="7"/>
  <c r="H8" i="7" s="1"/>
  <c r="C8" i="7"/>
  <c r="F7" i="7"/>
  <c r="E7" i="7"/>
  <c r="D7" i="7"/>
  <c r="H7" i="7" s="1"/>
  <c r="C7" i="7"/>
  <c r="B2" i="1"/>
  <c r="B5" i="10" s="1"/>
  <c r="B2" i="9" l="1"/>
  <c r="I5" i="9" s="1"/>
  <c r="G9" i="7"/>
  <c r="H38" i="7"/>
  <c r="H25" i="7"/>
  <c r="D9" i="10"/>
  <c r="H51" i="7"/>
  <c r="G51" i="7"/>
  <c r="H43" i="7"/>
  <c r="G43" i="7"/>
  <c r="G30" i="7"/>
  <c r="H30" i="7"/>
  <c r="G42" i="7"/>
  <c r="H18" i="7"/>
  <c r="G18" i="7"/>
  <c r="H33" i="7"/>
  <c r="H26" i="7"/>
  <c r="G26" i="7"/>
  <c r="G13" i="7"/>
  <c r="G34" i="7"/>
  <c r="H34" i="7"/>
  <c r="H17" i="7"/>
  <c r="G17" i="7"/>
  <c r="G14" i="7"/>
  <c r="H22" i="7"/>
  <c r="G22" i="7"/>
  <c r="G50" i="7"/>
  <c r="G47" i="7"/>
  <c r="H35" i="7"/>
  <c r="G35" i="7"/>
  <c r="G7" i="7"/>
  <c r="G39" i="7"/>
  <c r="B109" i="10"/>
  <c r="G31" i="7"/>
  <c r="G23" i="7"/>
  <c r="H19" i="7"/>
  <c r="B57" i="10"/>
  <c r="H27" i="7"/>
  <c r="F61" i="10"/>
  <c r="G28" i="7"/>
  <c r="H20" i="7"/>
  <c r="H24" i="7"/>
  <c r="G24" i="7"/>
  <c r="H39" i="7"/>
  <c r="H11" i="7"/>
  <c r="H37" i="7"/>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H15" i="7"/>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G9" i="9"/>
  <c r="D9" i="9"/>
  <c r="G8" i="7"/>
  <c r="G45" i="7"/>
  <c r="H54" i="7"/>
  <c r="G54" i="7"/>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C29" i="10"/>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126" i="10"/>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G32" i="7"/>
  <c r="G36" i="7"/>
  <c r="G40" i="7"/>
  <c r="H48" i="7"/>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C10" i="10"/>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C49" i="10"/>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75" i="10"/>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105" i="10"/>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61" i="10"/>
  <c r="C113" i="10"/>
  <c r="C130" i="10"/>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Y5" i="9" l="1"/>
  <c r="U5" i="9"/>
  <c r="R5" i="9"/>
  <c r="S5" i="9"/>
  <c r="V5" i="9"/>
  <c r="Q5" i="9"/>
  <c r="C5" i="9"/>
  <c r="D5" i="9"/>
  <c r="E5" i="9"/>
  <c r="F5" i="9"/>
  <c r="F172" i="10" s="1"/>
  <c r="F2" i="12" s="1"/>
  <c r="G5" i="9"/>
  <c r="B5" i="9"/>
  <c r="B172" i="10" s="1"/>
  <c r="B2" i="12" s="1"/>
  <c r="W5" i="9"/>
  <c r="AB5" i="9"/>
  <c r="M5" i="9"/>
  <c r="J5" i="9"/>
  <c r="K5" i="9"/>
  <c r="O5" i="9"/>
  <c r="Z5" i="9"/>
  <c r="AA5" i="9"/>
  <c r="T5" i="9"/>
  <c r="N5" i="9"/>
  <c r="P5" i="9"/>
  <c r="X5" i="9"/>
  <c r="H5" i="9"/>
  <c r="L5" i="9"/>
  <c r="I9" i="9"/>
  <c r="H9" i="9"/>
  <c r="D109" i="10"/>
  <c r="D172" i="10" s="1"/>
  <c r="D2" i="12" s="1"/>
  <c r="C109" i="10"/>
  <c r="C172" i="10" s="1"/>
  <c r="C2" i="12" s="1"/>
  <c r="D57" i="10"/>
  <c r="E9" i="10"/>
  <c r="G61" i="10"/>
  <c r="F109" i="10"/>
  <c r="C57" i="10"/>
  <c r="C171" i="10" s="1"/>
  <c r="C2" i="11" s="1"/>
  <c r="E109" i="10"/>
  <c r="E172" i="10" s="1"/>
  <c r="E2" i="12" s="1"/>
  <c r="D171" i="10"/>
  <c r="D2" i="11" s="1"/>
  <c r="C161" i="10"/>
  <c r="C173" i="10" s="1"/>
  <c r="C2" i="13" s="1"/>
  <c r="D113" i="10"/>
  <c r="F9" i="9"/>
  <c r="E9" i="9"/>
  <c r="B173" i="10" l="1"/>
  <c r="B2" i="13" s="1"/>
  <c r="B171" i="10"/>
  <c r="B2" i="11" s="1"/>
  <c r="G109" i="10"/>
  <c r="G172" i="10" s="1"/>
  <c r="G2" i="12" s="1"/>
  <c r="H61" i="10"/>
  <c r="E57" i="10"/>
  <c r="E171" i="10" s="1"/>
  <c r="E2" i="11" s="1"/>
  <c r="F9" i="10"/>
  <c r="E113" i="10"/>
  <c r="D161" i="10"/>
  <c r="D173" i="10" s="1"/>
  <c r="D2" i="13" s="1"/>
  <c r="H109" i="10" l="1"/>
  <c r="H172" i="10" s="1"/>
  <c r="H2" i="12" s="1"/>
  <c r="I61" i="10"/>
  <c r="E161" i="10"/>
  <c r="E173" i="10" s="1"/>
  <c r="E2" i="13" s="1"/>
  <c r="F113" i="10"/>
  <c r="F57" i="10"/>
  <c r="F171" i="10" s="1"/>
  <c r="F2" i="11" s="1"/>
  <c r="G9" i="10"/>
  <c r="G57" i="10" l="1"/>
  <c r="G171" i="10" s="1"/>
  <c r="G2" i="11" s="1"/>
  <c r="H9" i="10"/>
  <c r="F161" i="10"/>
  <c r="F173" i="10" s="1"/>
  <c r="F2" i="13" s="1"/>
  <c r="G113" i="10"/>
  <c r="I109" i="10"/>
  <c r="I172" i="10" s="1"/>
  <c r="I2" i="12" s="1"/>
  <c r="J61" i="10"/>
  <c r="J109" i="10" l="1"/>
  <c r="J172" i="10" s="1"/>
  <c r="J2" i="12" s="1"/>
  <c r="K61" i="10"/>
  <c r="G161" i="10"/>
  <c r="G173" i="10" s="1"/>
  <c r="G2" i="13" s="1"/>
  <c r="H113" i="10"/>
  <c r="H57" i="10"/>
  <c r="H171" i="10" s="1"/>
  <c r="H2" i="11" s="1"/>
  <c r="I9" i="10"/>
  <c r="I57" i="10" l="1"/>
  <c r="I171" i="10" s="1"/>
  <c r="I2" i="11" s="1"/>
  <c r="J9" i="10"/>
  <c r="I113" i="10"/>
  <c r="H161" i="10"/>
  <c r="H173" i="10" s="1"/>
  <c r="H2" i="13" s="1"/>
  <c r="K109" i="10"/>
  <c r="K172" i="10" s="1"/>
  <c r="K2" i="12" s="1"/>
  <c r="L61" i="10"/>
  <c r="M61" i="10" l="1"/>
  <c r="L109" i="10"/>
  <c r="L172" i="10" s="1"/>
  <c r="L2" i="12" s="1"/>
  <c r="J57" i="10"/>
  <c r="J171" i="10" s="1"/>
  <c r="J2" i="11" s="1"/>
  <c r="K9" i="10"/>
  <c r="J113" i="10"/>
  <c r="I161" i="10"/>
  <c r="I173" i="10" s="1"/>
  <c r="I2" i="13" s="1"/>
  <c r="M109" i="10" l="1"/>
  <c r="M172" i="10" s="1"/>
  <c r="M2" i="12" s="1"/>
  <c r="N61" i="10"/>
  <c r="J161" i="10"/>
  <c r="J173" i="10" s="1"/>
  <c r="J2" i="13" s="1"/>
  <c r="K113" i="10"/>
  <c r="K57" i="10"/>
  <c r="K171" i="10" s="1"/>
  <c r="K2" i="11" s="1"/>
  <c r="L9" i="10"/>
  <c r="K161" i="10" l="1"/>
  <c r="K173" i="10" s="1"/>
  <c r="K2" i="13" s="1"/>
  <c r="L113" i="10"/>
  <c r="L57" i="10"/>
  <c r="L171" i="10" s="1"/>
  <c r="L2" i="11" s="1"/>
  <c r="M9" i="10"/>
  <c r="O61" i="10"/>
  <c r="N109" i="10"/>
  <c r="N172" i="10" s="1"/>
  <c r="N2" i="12" s="1"/>
  <c r="M113" i="10" l="1"/>
  <c r="L161" i="10"/>
  <c r="L173" i="10" s="1"/>
  <c r="L2" i="13" s="1"/>
  <c r="O109" i="10"/>
  <c r="O172" i="10" s="1"/>
  <c r="O2" i="12" s="1"/>
  <c r="P61" i="10"/>
  <c r="M57" i="10"/>
  <c r="M171" i="10" s="1"/>
  <c r="M2" i="11" s="1"/>
  <c r="N9" i="10"/>
  <c r="Q61" i="10" l="1"/>
  <c r="P109" i="10"/>
  <c r="P172" i="10" s="1"/>
  <c r="P2" i="12" s="1"/>
  <c r="M161" i="10"/>
  <c r="M173" i="10" s="1"/>
  <c r="M2" i="13" s="1"/>
  <c r="N113" i="10"/>
  <c r="O9" i="10"/>
  <c r="N57" i="10"/>
  <c r="N171" i="10" s="1"/>
  <c r="N2" i="11" s="1"/>
  <c r="P9" i="10" l="1"/>
  <c r="O57" i="10"/>
  <c r="O171" i="10" s="1"/>
  <c r="O2" i="11" s="1"/>
  <c r="O113" i="10"/>
  <c r="N161" i="10"/>
  <c r="N173" i="10" s="1"/>
  <c r="N2" i="13" s="1"/>
  <c r="Q109" i="10"/>
  <c r="Q172" i="10" s="1"/>
  <c r="Q2" i="12" s="1"/>
  <c r="R61" i="10"/>
  <c r="O161" i="10" l="1"/>
  <c r="O173" i="10" s="1"/>
  <c r="O2" i="13" s="1"/>
  <c r="P113" i="10"/>
  <c r="R109" i="10"/>
  <c r="R172" i="10" s="1"/>
  <c r="R2" i="12" s="1"/>
  <c r="S61" i="10"/>
  <c r="Q9" i="10"/>
  <c r="P57" i="10"/>
  <c r="P171" i="10" s="1"/>
  <c r="P2" i="11" s="1"/>
  <c r="Q57" i="10" l="1"/>
  <c r="Q171" i="10" s="1"/>
  <c r="Q2" i="11" s="1"/>
  <c r="R9" i="10"/>
  <c r="T61" i="10"/>
  <c r="S109" i="10"/>
  <c r="S172" i="10" s="1"/>
  <c r="S2" i="12" s="1"/>
  <c r="Q113" i="10"/>
  <c r="P161" i="10"/>
  <c r="P173" i="10" s="1"/>
  <c r="P2" i="13" s="1"/>
  <c r="Q161" i="10" l="1"/>
  <c r="Q173" i="10" s="1"/>
  <c r="Q2" i="13" s="1"/>
  <c r="R113" i="10"/>
  <c r="U61" i="10"/>
  <c r="T109" i="10"/>
  <c r="T172" i="10" s="1"/>
  <c r="T2" i="12" s="1"/>
  <c r="R57" i="10"/>
  <c r="R171" i="10" s="1"/>
  <c r="R2" i="11" s="1"/>
  <c r="S9" i="10"/>
  <c r="T9" i="10" l="1"/>
  <c r="S57" i="10"/>
  <c r="S171" i="10" s="1"/>
  <c r="S2" i="11" s="1"/>
  <c r="V61" i="10"/>
  <c r="U109" i="10"/>
  <c r="U172" i="10" s="1"/>
  <c r="U2" i="12" s="1"/>
  <c r="S113" i="10"/>
  <c r="R161" i="10"/>
  <c r="R173" i="10" s="1"/>
  <c r="R2" i="13" s="1"/>
  <c r="T113" i="10" l="1"/>
  <c r="S161" i="10"/>
  <c r="S173" i="10" s="1"/>
  <c r="S2" i="13" s="1"/>
  <c r="W61" i="10"/>
  <c r="V109" i="10"/>
  <c r="V172" i="10" s="1"/>
  <c r="V2" i="12" s="1"/>
  <c r="U9" i="10"/>
  <c r="T57" i="10"/>
  <c r="T171" i="10" s="1"/>
  <c r="T2" i="11" s="1"/>
  <c r="X61" i="10" l="1"/>
  <c r="W109" i="10"/>
  <c r="W172" i="10" s="1"/>
  <c r="W2" i="12" s="1"/>
  <c r="V9" i="10"/>
  <c r="U57" i="10"/>
  <c r="U171" i="10" s="1"/>
  <c r="U2" i="11" s="1"/>
  <c r="T161" i="10"/>
  <c r="T173" i="10" s="1"/>
  <c r="T2" i="13" s="1"/>
  <c r="U113" i="10"/>
  <c r="U161" i="10" l="1"/>
  <c r="U173" i="10" s="1"/>
  <c r="U2" i="13" s="1"/>
  <c r="V113" i="10"/>
  <c r="W9" i="10"/>
  <c r="V57" i="10"/>
  <c r="V171" i="10" s="1"/>
  <c r="V2" i="11" s="1"/>
  <c r="X109" i="10"/>
  <c r="X172" i="10" s="1"/>
  <c r="X2" i="12" s="1"/>
  <c r="Y61" i="10"/>
  <c r="Z61" i="10" l="1"/>
  <c r="Y109" i="10"/>
  <c r="Y172" i="10" s="1"/>
  <c r="Y2" i="12" s="1"/>
  <c r="V161" i="10"/>
  <c r="V173" i="10" s="1"/>
  <c r="V2" i="13" s="1"/>
  <c r="W113" i="10"/>
  <c r="X9" i="10"/>
  <c r="W57" i="10"/>
  <c r="W171" i="10" s="1"/>
  <c r="W2" i="11" s="1"/>
  <c r="Y9" i="10" l="1"/>
  <c r="X57" i="10"/>
  <c r="X171" i="10" s="1"/>
  <c r="X2" i="11" s="1"/>
  <c r="X113" i="10"/>
  <c r="W161" i="10"/>
  <c r="W173" i="10" s="1"/>
  <c r="W2" i="13" s="1"/>
  <c r="AA61" i="10"/>
  <c r="Z109" i="10"/>
  <c r="Z172" i="10" s="1"/>
  <c r="Z2" i="12" s="1"/>
  <c r="AB61" i="10" l="1"/>
  <c r="AB109" i="10" s="1"/>
  <c r="AB172" i="10" s="1"/>
  <c r="AB2" i="12" s="1"/>
  <c r="AA109" i="10"/>
  <c r="AA172" i="10" s="1"/>
  <c r="AA2" i="12" s="1"/>
  <c r="Y113" i="10"/>
  <c r="X161" i="10"/>
  <c r="X173" i="10" s="1"/>
  <c r="X2" i="13" s="1"/>
  <c r="Z9" i="10"/>
  <c r="Y57" i="10"/>
  <c r="Y171" i="10" s="1"/>
  <c r="Y2" i="11" s="1"/>
  <c r="Z113" i="10" l="1"/>
  <c r="Y161" i="10"/>
  <c r="Y173" i="10" s="1"/>
  <c r="Y2" i="13" s="1"/>
  <c r="AA9" i="10"/>
  <c r="Z57" i="10"/>
  <c r="Z171" i="10" s="1"/>
  <c r="Z2" i="11" s="1"/>
  <c r="AB9" i="10" l="1"/>
  <c r="AB57" i="10" s="1"/>
  <c r="AB171" i="10" s="1"/>
  <c r="AB2" i="11" s="1"/>
  <c r="AA57" i="10"/>
  <c r="AA171" i="10" s="1"/>
  <c r="AA2" i="11" s="1"/>
  <c r="AA113" i="10"/>
  <c r="Z161" i="10"/>
  <c r="Z173" i="10" s="1"/>
  <c r="Z2" i="13" s="1"/>
  <c r="AA161" i="10" l="1"/>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<sst xmlns="http://schemas.openxmlformats.org/spreadsheetml/2006/main" count="725" uniqueCount="267">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</sst>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92</v>
      </c>
      <c r="C1" s="11">
        <v>46266</v>
      </c>
      <c r="F1" s="1" t="s">
        <v>2</v>
      </c>
      <c r="G1" s="1" t="s">
        <v>3</v>
      </c>
    </row>
    <row r="2" spans="1:7" x14ac:dyDescent="0.45">
      <c r="A2" s="1" t="s">
        <v>4</v>
      </c>
      <c r="B2" t="str">
        <f>INDEX($G$2:$G$49,MATCH($B$1,$F$2:$F$49,0))</f>
        <v>OR</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Oregon</v>
      </c>
    </row>
    <row r="2" spans="1:28" x14ac:dyDescent="0.45">
      <c r="B2" t="str">
        <f>About!B2</f>
        <v>OR</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Oregon</v>
      </c>
    </row>
    <row r="5" spans="1:29" x14ac:dyDescent="0.45">
      <c r="A5" t="s">
        <v>246</v>
      </c>
      <c r="B5" t="str">
        <f>About!$B$2</f>
        <v>OR</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13797917.819242569</v>
      </c>
      <c r="C171">
        <f>IF('State Calculations'!C$5&lt;&gt;"",B171*(1+'State Calculations'!C$5),IFERROR(INDEX(C9:C56,MATCH($B$5,$A9:$A56,0))/C57*C165,0))</f>
        <v>14603773.976844085</v>
      </c>
      <c r="D171">
        <f>IF('State Calculations'!D$5&lt;&gt;"",C171*(1+'State Calculations'!D$5),IFERROR(INDEX(D9:D56,MATCH($B$5,$A9:$A56,0))/D57*D165,0))</f>
        <v>15403616.654273041</v>
      </c>
      <c r="E171">
        <f>IF('State Calculations'!E$5&lt;&gt;"",D171*(1+'State Calculations'!E$5),IFERROR(INDEX(E9:E56,MATCH($B$5,$A9:$A56,0))/E57*E165,0))</f>
        <v>16180407.069943834</v>
      </c>
      <c r="F171">
        <f>IF('State Calculations'!F$5&lt;&gt;"",E171*(1+'State Calculations'!F$5),IFERROR(INDEX(F9:F56,MATCH($B$5,$A9:$A56,0))/F57*F165,0))</f>
        <v>16908921.933277011</v>
      </c>
      <c r="G171">
        <f>IF('State Calculations'!G$5&lt;&gt;"",F171*(1+'State Calculations'!G$5),IFERROR(INDEX(G9:G56,MATCH($B$5,$A9:$A56,0))/G57*G165,0))</f>
        <v>17550750.440863777</v>
      </c>
      <c r="H171">
        <f>IF('State Calculations'!H$5&lt;&gt;"",G171*(1+'State Calculations'!H$5),IFERROR(INDEX(H9:H56,MATCH($B$5,$A9:$A56,0))/H57*H165,0))</f>
        <v>18046118.713314664</v>
      </c>
      <c r="I171">
        <f>IF('State Calculations'!I$5&lt;&gt;"",H171*(1+'State Calculations'!I$5),IFERROR(INDEX(I9:I56,MATCH($B$5,$A9:$A56,0))/I57*I165,0))</f>
        <v>18122936.505641345</v>
      </c>
      <c r="J171">
        <f>IF('State Calculations'!J$5&lt;&gt;"",I171*(1+'State Calculations'!J$5),IFERROR(INDEX(J9:J56,MATCH($B$5,$A9:$A56,0))/J57*J165,0))</f>
        <v>18172731.219639171</v>
      </c>
      <c r="K171">
        <f>IF('State Calculations'!K$5&lt;&gt;"",J171*(1+'State Calculations'!K$5),IFERROR(INDEX(K9:K56,MATCH($B$5,$A9:$A56,0))/K57*K165,0))</f>
        <v>18190754.246568032</v>
      </c>
      <c r="L171">
        <f>IF('State Calculations'!L$5&lt;&gt;"",K171*(1+'State Calculations'!L$5),IFERROR(INDEX(L9:L56,MATCH($B$5,$A9:$A56,0))/L57*L165,0))</f>
        <v>18171525.744998824</v>
      </c>
      <c r="M171">
        <f>IF('State Calculations'!M$5&lt;&gt;"",L171*(1+'State Calculations'!M$5),IFERROR(INDEX(M9:M56,MATCH($B$5,$A9:$A56,0))/M57*M165,0))</f>
        <v>18108796.823901713</v>
      </c>
      <c r="N171">
        <f>IF('State Calculations'!N$5&lt;&gt;"",M171*(1+'State Calculations'!N$5),IFERROR(INDEX(N9:N56,MATCH($B$5,$A9:$A56,0))/N57*N165,0))</f>
        <v>18080323.171957191</v>
      </c>
      <c r="O171">
        <f>IF('State Calculations'!O$5&lt;&gt;"",N171*(1+'State Calculations'!O$5),IFERROR(INDEX(O9:O56,MATCH($B$5,$A9:$A56,0))/O57*O165,0))</f>
        <v>18047975.857119154</v>
      </c>
      <c r="P171">
        <f>IF('State Calculations'!P$5&lt;&gt;"",O171*(1+'State Calculations'!P$5),IFERROR(INDEX(P9:P56,MATCH($B$5,$A9:$A56,0))/P57*P165,0))</f>
        <v>18011596.412830211</v>
      </c>
      <c r="Q171">
        <f>IF('State Calculations'!Q$5&lt;&gt;"",P171*(1+'State Calculations'!Q$5),IFERROR(INDEX(Q9:Q56,MATCH($B$5,$A9:$A56,0))/Q57*Q165,0))</f>
        <v>17971022.582769737</v>
      </c>
      <c r="R171">
        <f>IF('State Calculations'!R$5&lt;&gt;"",Q171*(1+'State Calculations'!R$5),IFERROR(INDEX(R9:R56,MATCH($B$5,$A9:$A56,0))/R57*R165,0))</f>
        <v>17926088.606909137</v>
      </c>
      <c r="S171">
        <f>IF('State Calculations'!S$5&lt;&gt;"",R171*(1+'State Calculations'!S$5),IFERROR(INDEX(S9:S56,MATCH($B$5,$A9:$A56,0))/S57*S165,0))</f>
        <v>17913667.70662741</v>
      </c>
      <c r="T171">
        <f>IF('State Calculations'!T$5&lt;&gt;"",S171*(1+'State Calculations'!T$5),IFERROR(INDEX(T9:T56,MATCH($B$5,$A9:$A56,0))/T57*T165,0))</f>
        <v>17900947.355919525</v>
      </c>
      <c r="U171">
        <f>IF('State Calculations'!U$5&lt;&gt;"",T171*(1+'State Calculations'!U$5),IFERROR(INDEX(U9:U56,MATCH($B$5,$A9:$A56,0))/U57*U165,0))</f>
        <v>17887924.657459043</v>
      </c>
      <c r="V171">
        <f>IF('State Calculations'!V$5&lt;&gt;"",U171*(1+'State Calculations'!V$5),IFERROR(INDEX(V9:V56,MATCH($B$5,$A9:$A56,0))/V57*V165,0))</f>
        <v>17874596.702613067</v>
      </c>
      <c r="W171">
        <f>IF('State Calculations'!W$5&lt;&gt;"",V171*(1+'State Calculations'!W$5),IFERROR(INDEX(W9:W56,MATCH($B$5,$A9:$A56,0))/W57*W165,0))</f>
        <v>17860960.571971904</v>
      </c>
      <c r="X171">
        <f>IF('State Calculations'!X$5&lt;&gt;"",W171*(1+'State Calculations'!X$5),IFERROR(INDEX(X9:X56,MATCH($B$5,$A9:$A56,0))/X57*X165,0))</f>
        <v>17857469.357503396</v>
      </c>
      <c r="Y171">
        <f>IF('State Calculations'!Y$5&lt;&gt;"",X171*(1+'State Calculations'!Y$5),IFERROR(INDEX(Y9:Y56,MATCH($B$5,$A9:$A56,0))/Y57*Y165,0))</f>
        <v>17853958.41654598</v>
      </c>
      <c r="Z171">
        <f>IF('State Calculations'!Z$5&lt;&gt;"",Y171*(1+'State Calculations'!Z$5),IFERROR(INDEX(Z9:Z56,MATCH($B$5,$A9:$A56,0))/Z57*Z165,0))</f>
        <v>17850427.702252224</v>
      </c>
      <c r="AA171">
        <f>IF('State Calculations'!AA$5&lt;&gt;"",Z171*(1+'State Calculations'!AA$5),IFERROR(INDEX(AA9:AA56,MATCH($B$5,$A9:$A56,0))/AA57*AA165,0))</f>
        <v>17846877.167736746</v>
      </c>
      <c r="AB171">
        <f>IF('State Calculations'!AB$5&lt;&gt;"",AA171*(1+'State Calculations'!AB$5),IFERROR(INDEX(AB9:AB56,MATCH($B$5,$A9:$A56,0))/AB57*AB165,0))</f>
        <v>17843306.766076904</v>
      </c>
    </row>
    <row r="172" spans="1:29" x14ac:dyDescent="0.45">
      <c r="A172" s="1" t="s">
        <v>262</v>
      </c>
      <c r="B172">
        <f>IF('State Calculations'!B$5&lt;&gt;"",A172*(1+'State Calculations'!B$5),IFERROR(INDEX(B61:B108,MATCH($B$5,$A61:$A108,0))/B109*B166,0))</f>
        <v>13797917.819242569</v>
      </c>
      <c r="C172">
        <f>IF('State Calculations'!C$5&lt;&gt;"",B172*(1+'State Calculations'!C$5),IFERROR(INDEX(C61:C108,MATCH($B$5,$A61:$A108,0))/C109*C166,0))</f>
        <v>15297449.518639069</v>
      </c>
      <c r="D172">
        <f>IF('State Calculations'!D$5&lt;&gt;"",C172*(1+'State Calculations'!D$5),IFERROR(INDEX(D61:D108,MATCH($B$5,$A61:$A108,0))/D109*D166,0))</f>
        <v>16851630.459704362</v>
      </c>
      <c r="E172">
        <f>IF('State Calculations'!E$5&lt;&gt;"",D172*(1+'State Calculations'!E$5),IFERROR(INDEX(E61:E108,MATCH($B$5,$A61:$A108,0))/E109*E166,0))</f>
        <v>18425505.011435904</v>
      </c>
      <c r="F172">
        <f>IF('State Calculations'!F$5&lt;&gt;"",E172*(1+'State Calculations'!F$5),IFERROR(INDEX(F61:F108,MATCH($B$5,$A61:$A108,0))/F109*F166,0))</f>
        <v>19966053.234599672</v>
      </c>
      <c r="G172">
        <f>IF('State Calculations'!G$5&lt;&gt;"",F172*(1+'State Calculations'!G$5),IFERROR(INDEX(G61:G108,MATCH($B$5,$A61:$A108,0))/G109*G166,0))</f>
        <v>21395030.705499414</v>
      </c>
      <c r="H172">
        <f>IF('State Calculations'!H$5&lt;&gt;"",G172*(1+'State Calculations'!H$5),IFERROR(INDEX(H61:H108,MATCH($B$5,$A61:$A108,0))/H109*H166,0))</f>
        <v>22600486.130671088</v>
      </c>
      <c r="I172">
        <f>IF('State Calculations'!I$5&lt;&gt;"",H172*(1+'State Calculations'!I$5),IFERROR(INDEX(I61:I108,MATCH($B$5,$A61:$A108,0))/I109*I166,0))</f>
        <v>22809896.587406702</v>
      </c>
      <c r="J172">
        <f>IF('State Calculations'!J$5&lt;&gt;"",I172*(1+'State Calculations'!J$5),IFERROR(INDEX(J61:J108,MATCH($B$5,$A61:$A108,0))/J109*J166,0))</f>
        <v>22972989.388024174</v>
      </c>
      <c r="K172">
        <f>IF('State Calculations'!K$5&lt;&gt;"",J172*(1+'State Calculations'!K$5),IFERROR(INDEX(K61:K108,MATCH($B$5,$A61:$A108,0))/K109*K166,0))</f>
        <v>23083069.299265087</v>
      </c>
      <c r="L172">
        <f>IF('State Calculations'!L$5&lt;&gt;"",K172*(1+'State Calculations'!L$5),IFERROR(INDEX(L61:L108,MATCH($B$5,$A61:$A108,0))/L109*L166,0))</f>
        <v>23132915.123911791</v>
      </c>
      <c r="M172">
        <f>IF('State Calculations'!M$5&lt;&gt;"",L172*(1+'State Calculations'!M$5),IFERROR(INDEX(M61:M108,MATCH($B$5,$A61:$A108,0))/M109*M166,0))</f>
        <v>23114860.989344664</v>
      </c>
      <c r="N172">
        <f>IF('State Calculations'!N$5&lt;&gt;"",M172*(1+'State Calculations'!N$5),IFERROR(INDEX(N61:N108,MATCH($B$5,$A61:$A108,0))/N109*N166,0))</f>
        <v>23088280.452443048</v>
      </c>
      <c r="O172">
        <f>IF('State Calculations'!O$5&lt;&gt;"",N172*(1+'State Calculations'!O$5),IFERROR(INDEX(O61:O108,MATCH($B$5,$A61:$A108,0))/O109*O166,0))</f>
        <v>23055870.83092735</v>
      </c>
      <c r="P172">
        <f>IF('State Calculations'!P$5&lt;&gt;"",O172*(1+'State Calculations'!P$5),IFERROR(INDEX(P61:P108,MATCH($B$5,$A61:$A108,0))/P109*P166,0))</f>
        <v>23017461.780308541</v>
      </c>
      <c r="Q172">
        <f>IF('State Calculations'!Q$5&lt;&gt;"",P172*(1+'State Calculations'!Q$5),IFERROR(INDEX(Q61:Q108,MATCH($B$5,$A61:$A108,0))/Q109*Q166,0))</f>
        <v>22972882.700408418</v>
      </c>
      <c r="R172">
        <f>IF('State Calculations'!R$5&lt;&gt;"",Q172*(1+'State Calculations'!R$5),IFERROR(INDEX(R61:R108,MATCH($B$5,$A61:$A108,0))/R109*R166,0))</f>
        <v>22921963.227153234</v>
      </c>
      <c r="S172">
        <f>IF('State Calculations'!S$5&lt;&gt;"",R172*(1+'State Calculations'!S$5),IFERROR(INDEX(S61:S108,MATCH($B$5,$A61:$A108,0))/S109*S166,0))</f>
        <v>22907289.42693653</v>
      </c>
      <c r="T172">
        <f>IF('State Calculations'!T$5&lt;&gt;"",S172*(1+'State Calculations'!T$5),IFERROR(INDEX(T61:T108,MATCH($B$5,$A61:$A108,0))/T109*T166,0))</f>
        <v>22892185.210153401</v>
      </c>
      <c r="U172">
        <f>IF('State Calculations'!U$5&lt;&gt;"",T172*(1+'State Calculations'!U$5),IFERROR(INDEX(U61:U108,MATCH($B$5,$A61:$A108,0))/U109*U166,0))</f>
        <v>22876647.707241289</v>
      </c>
      <c r="V172">
        <f>IF('State Calculations'!V$5&lt;&gt;"",U172*(1+'State Calculations'!V$5),IFERROR(INDEX(V61:V108,MATCH($B$5,$A61:$A108,0))/V109*V166,0))</f>
        <v>22860674.055175968</v>
      </c>
      <c r="W172">
        <f>IF('State Calculations'!W$5&lt;&gt;"",V172*(1+'State Calculations'!W$5),IFERROR(INDEX(W61:W108,MATCH($B$5,$A61:$A108,0))/W109*W166,0))</f>
        <v>22844261.398192085</v>
      </c>
      <c r="X172">
        <f>IF('State Calculations'!X$5&lt;&gt;"",W172*(1+'State Calculations'!X$5),IFERROR(INDEX(X61:X108,MATCH($B$5,$A61:$A108,0))/X109*X166,0))</f>
        <v>22840025.514560163</v>
      </c>
      <c r="Y172">
        <f>IF('State Calculations'!Y$5&lt;&gt;"",X172*(1+'State Calculations'!Y$5),IFERROR(INDEX(Y61:Y108,MATCH($B$5,$A61:$A108,0))/Y109*Y166,0))</f>
        <v>22835761.614250377</v>
      </c>
      <c r="Z172">
        <f>IF('State Calculations'!Z$5&lt;&gt;"",Y172*(1+'State Calculations'!Z$5),IFERROR(INDEX(Z61:Z108,MATCH($B$5,$A61:$A108,0))/Z109*Z166,0))</f>
        <v>22831469.65187598</v>
      </c>
      <c r="AA172">
        <f>IF('State Calculations'!AA$5&lt;&gt;"",Z172*(1+'State Calculations'!AA$5),IFERROR(INDEX(AA61:AA108,MATCH($B$5,$A61:$A108,0))/AA109*AA166,0))</f>
        <v>22827149.582086097</v>
      </c>
      <c r="AB172">
        <f>IF('State Calculations'!AB$5&lt;&gt;"",AA172*(1+'State Calculations'!AB$5),IFERROR(INDEX(AB61:AB108,MATCH($B$5,$A61:$A108,0))/AB109*AB166,0))</f>
        <v>22822801.359566476</v>
      </c>
    </row>
    <row r="173" spans="1:29" x14ac:dyDescent="0.45">
      <c r="A173" s="1" t="s">
        <v>263</v>
      </c>
      <c r="B173">
        <f>IF('State Calculations'!B$5&lt;&gt;"",A173*(1+'State Calculations'!B$5),IFERROR(INDEX(B113:B160,MATCH($B$5,$A113:$A160,0))/B161*B167,0))</f>
        <v>13797917.819242569</v>
      </c>
      <c r="C173">
        <f>IF('State Calculations'!C$5&lt;&gt;"",B173*(1+'State Calculations'!C$5),IFERROR(INDEX(C113:C160,MATCH($B$5,$A113:$A160,0))/C161*C167,0))</f>
        <v>15806787.790320197</v>
      </c>
      <c r="D173">
        <f>IF('State Calculations'!D$5&lt;&gt;"",C173*(1+'State Calculations'!D$5),IFERROR(INDEX(D113:D160,MATCH($B$5,$A113:$A160,0))/D161*D167,0))</f>
        <v>17972849.57765178</v>
      </c>
      <c r="E173">
        <f>IF('State Calculations'!E$5&lt;&gt;"",D173*(1+'State Calculations'!E$5),IFERROR(INDEX(E113:E160,MATCH($B$5,$A113:$A160,0))/E161*E167,0))</f>
        <v>20262021.72246217</v>
      </c>
      <c r="F173">
        <f>IF('State Calculations'!F$5&lt;&gt;"",E173*(1+'State Calculations'!F$5),IFERROR(INDEX(F113:F160,MATCH($B$5,$A113:$A160,0))/F161*F167,0))</f>
        <v>22614305.753438748</v>
      </c>
      <c r="G173">
        <f>IF('State Calculations'!G$5&lt;&gt;"",F173*(1+'State Calculations'!G$5),IFERROR(INDEX(G113:G160,MATCH($B$5,$A113:$A160,0))/G161*G167,0))</f>
        <v>24932164.537096668</v>
      </c>
      <c r="H173">
        <f>IF('State Calculations'!H$5&lt;&gt;"",G173*(1+'State Calculations'!H$5),IFERROR(INDEX(H113:H160,MATCH($B$5,$A113:$A160,0))/H161*H167,0))</f>
        <v>27066194.674234644</v>
      </c>
      <c r="I173">
        <f>IF('State Calculations'!I$5&lt;&gt;"",H173*(1+'State Calculations'!I$5),IFERROR(INDEX(I113:I160,MATCH($B$5,$A113:$A160,0))/I161*I167,0))</f>
        <v>27492683.857381631</v>
      </c>
      <c r="J173">
        <f>IF('State Calculations'!J$5&lt;&gt;"",I173*(1+'State Calculations'!J$5),IFERROR(INDEX(J113:J160,MATCH($B$5,$A113:$A160,0))/J161*J167,0))</f>
        <v>27859219.762832467</v>
      </c>
      <c r="K173">
        <f>IF('State Calculations'!K$5&lt;&gt;"",J173*(1+'State Calculations'!K$5),IFERROR(INDEX(K113:K160,MATCH($B$5,$A113:$A160,0))/K161*K167,0))</f>
        <v>28155356.083551612</v>
      </c>
      <c r="L173">
        <f>IF('State Calculations'!L$5&lt;&gt;"",K173*(1+'State Calculations'!L$5),IFERROR(INDEX(L113:L160,MATCH($B$5,$A113:$A160,0))/L161*L167,0))</f>
        <v>28369747.841488678</v>
      </c>
      <c r="M173">
        <f>IF('State Calculations'!M$5&lt;&gt;"",L173*(1+'State Calculations'!M$5),IFERROR(INDEX(M113:M160,MATCH($B$5,$A113:$A160,0))/M161*M167,0))</f>
        <v>28490283.709767316</v>
      </c>
      <c r="N173">
        <f>IF('State Calculations'!N$5&lt;&gt;"",M173*(1+'State Calculations'!N$5),IFERROR(INDEX(N113:N160,MATCH($B$5,$A113:$A160,0))/N161*N167,0))</f>
        <v>28487545.876517043</v>
      </c>
      <c r="O173">
        <f>IF('State Calculations'!O$5&lt;&gt;"",N173*(1+'State Calculations'!O$5),IFERROR(INDEX(O113:O160,MATCH($B$5,$A113:$A160,0))/O161*O167,0))</f>
        <v>28476337.871524349</v>
      </c>
      <c r="P173">
        <f>IF('State Calculations'!P$5&lt;&gt;"",O173*(1+'State Calculations'!P$5),IFERROR(INDEX(P113:P160,MATCH($B$5,$A113:$A160,0))/P161*P167,0))</f>
        <v>28456383.133851409</v>
      </c>
      <c r="Q173">
        <f>IF('State Calculations'!Q$5&lt;&gt;"",P173*(1+'State Calculations'!Q$5),IFERROR(INDEX(Q113:Q160,MATCH($B$5,$A113:$A160,0))/Q161*Q167,0))</f>
        <v>28427404.832053605</v>
      </c>
      <c r="R173">
        <f>IF('State Calculations'!R$5&lt;&gt;"",Q173*(1+'State Calculations'!R$5),IFERROR(INDEX(R113:R160,MATCH($B$5,$A113:$A160,0))/R161*R167,0))</f>
        <v>28389126.759945385</v>
      </c>
      <c r="S173">
        <f>IF('State Calculations'!S$5&lt;&gt;"",R173*(1+'State Calculations'!S$5),IFERROR(INDEX(S113:S160,MATCH($B$5,$A113:$A160,0))/S161*S167,0))</f>
        <v>28376544.324035373</v>
      </c>
      <c r="T173">
        <f>IF('State Calculations'!T$5&lt;&gt;"",S173*(1+'State Calculations'!T$5),IFERROR(INDEX(T113:T160,MATCH($B$5,$A113:$A160,0))/T161*T167,0))</f>
        <v>28363323.264155898</v>
      </c>
      <c r="U173">
        <f>IF('State Calculations'!U$5&lt;&gt;"",T173*(1+'State Calculations'!U$5),IFERROR(INDEX(U113:U160,MATCH($B$5,$A113:$A160,0))/U161*U167,0))</f>
        <v>28349458.909994993</v>
      </c>
      <c r="V173">
        <f>IF('State Calculations'!V$5&lt;&gt;"",U173*(1+'State Calculations'!V$5),IFERROR(INDEX(V113:V160,MATCH($B$5,$A113:$A160,0))/V161*V167,0))</f>
        <v>28334946.604543734</v>
      </c>
      <c r="W173">
        <f>IF('State Calculations'!W$5&lt;&gt;"",V173*(1+'State Calculations'!W$5),IFERROR(INDEX(W113:W160,MATCH($B$5,$A113:$A160,0))/W161*W167,0))</f>
        <v>28319781.705436278</v>
      </c>
      <c r="X173">
        <f>IF('State Calculations'!X$5&lt;&gt;"",W173*(1+'State Calculations'!X$5),IFERROR(INDEX(X113:X160,MATCH($B$5,$A113:$A160,0))/X161*X167,0))</f>
        <v>28315782.768055107</v>
      </c>
      <c r="Y173">
        <f>IF('State Calculations'!Y$5&lt;&gt;"",X173*(1+'State Calculations'!Y$5),IFERROR(INDEX(Y113:Y160,MATCH($B$5,$A113:$A160,0))/Y161*Y167,0))</f>
        <v>28311742.064918566</v>
      </c>
      <c r="Z173">
        <f>IF('State Calculations'!Z$5&lt;&gt;"",Y173*(1+'State Calculations'!Z$5),IFERROR(INDEX(Z113:Z160,MATCH($B$5,$A113:$A160,0))/Z161*Z167,0))</f>
        <v>28307659.522206448</v>
      </c>
      <c r="AA173">
        <f>IF('State Calculations'!AA$5&lt;&gt;"",Z173*(1+'State Calculations'!AA$5),IFERROR(INDEX(AA113:AA160,MATCH($B$5,$A113:$A160,0))/AA161*AA167,0))</f>
        <v>28303535.066170402</v>
      </c>
      <c r="AB173">
        <f>IF('State Calculations'!AB$5&lt;&gt;"",AA173*(1+'State Calculations'!AB$5),IFERROR(INDEX(AB113:AB160,MATCH($B$5,$A113:$A160,0))/AB161*AB167,0))</f>
        <v>28299368.623135403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13797917.819242569</v>
      </c>
      <c r="C2">
        <f>Calcs!C171</f>
        <v>14603773.976844085</v>
      </c>
      <c r="D2">
        <f>Calcs!D171</f>
        <v>15403616.654273041</v>
      </c>
      <c r="E2">
        <f>Calcs!E171</f>
        <v>16180407.069943834</v>
      </c>
      <c r="F2">
        <f>Calcs!F171</f>
        <v>16908921.933277011</v>
      </c>
      <c r="G2">
        <f>Calcs!G171</f>
        <v>17550750.440863777</v>
      </c>
      <c r="H2">
        <f>Calcs!H171</f>
        <v>18046118.713314664</v>
      </c>
      <c r="I2">
        <f>Calcs!I171</f>
        <v>18122936.505641345</v>
      </c>
      <c r="J2">
        <f>Calcs!J171</f>
        <v>18172731.219639171</v>
      </c>
      <c r="K2">
        <f>Calcs!K171</f>
        <v>18190754.246568032</v>
      </c>
      <c r="L2">
        <f>Calcs!L171</f>
        <v>18171525.744998824</v>
      </c>
      <c r="M2">
        <f>Calcs!M171</f>
        <v>18108796.823901713</v>
      </c>
      <c r="N2">
        <f>Calcs!N171</f>
        <v>18080323.171957191</v>
      </c>
      <c r="O2">
        <f>Calcs!O171</f>
        <v>18047975.857119154</v>
      </c>
      <c r="P2">
        <f>Calcs!P171</f>
        <v>18011596.412830211</v>
      </c>
      <c r="Q2">
        <f>Calcs!Q171</f>
        <v>17971022.582769737</v>
      </c>
      <c r="R2">
        <f>Calcs!R171</f>
        <v>17926088.606909137</v>
      </c>
      <c r="S2">
        <f>Calcs!S171</f>
        <v>17913667.70662741</v>
      </c>
      <c r="T2">
        <f>Calcs!T171</f>
        <v>17900947.355919525</v>
      </c>
      <c r="U2">
        <f>Calcs!U171</f>
        <v>17887924.657459043</v>
      </c>
      <c r="V2">
        <f>Calcs!V171</f>
        <v>17874596.702613067</v>
      </c>
      <c r="W2">
        <f>Calcs!W171</f>
        <v>17860960.571971904</v>
      </c>
      <c r="X2">
        <f>Calcs!X171</f>
        <v>17857469.357503396</v>
      </c>
      <c r="Y2">
        <f>Calcs!Y171</f>
        <v>17853958.41654598</v>
      </c>
      <c r="Z2">
        <f>Calcs!Z171</f>
        <v>17850427.702252224</v>
      </c>
      <c r="AA2">
        <f>Calcs!AA171</f>
        <v>17846877.167736746</v>
      </c>
      <c r="AB2">
        <f>Calcs!AB171</f>
        <v>17843306.766076904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13797917.819242569</v>
      </c>
      <c r="C2">
        <f>Calcs!C172</f>
        <v>15297449.518639069</v>
      </c>
      <c r="D2">
        <f>Calcs!D172</f>
        <v>16851630.459704362</v>
      </c>
      <c r="E2">
        <f>Calcs!E172</f>
        <v>18425505.011435904</v>
      </c>
      <c r="F2">
        <f>Calcs!F172</f>
        <v>19966053.234599672</v>
      </c>
      <c r="G2">
        <f>Calcs!G172</f>
        <v>21395030.705499414</v>
      </c>
      <c r="H2">
        <f>Calcs!H172</f>
        <v>22600486.130671088</v>
      </c>
      <c r="I2">
        <f>Calcs!I172</f>
        <v>22809896.587406702</v>
      </c>
      <c r="J2">
        <f>Calcs!J172</f>
        <v>22972989.388024174</v>
      </c>
      <c r="K2">
        <f>Calcs!K172</f>
        <v>23083069.299265087</v>
      </c>
      <c r="L2">
        <f>Calcs!L172</f>
        <v>23132915.123911791</v>
      </c>
      <c r="M2">
        <f>Calcs!M172</f>
        <v>23114860.989344664</v>
      </c>
      <c r="N2">
        <f>Calcs!N172</f>
        <v>23088280.452443048</v>
      </c>
      <c r="O2">
        <f>Calcs!O172</f>
        <v>23055870.83092735</v>
      </c>
      <c r="P2">
        <f>Calcs!P172</f>
        <v>23017461.780308541</v>
      </c>
      <c r="Q2">
        <f>Calcs!Q172</f>
        <v>22972882.700408418</v>
      </c>
      <c r="R2">
        <f>Calcs!R172</f>
        <v>22921963.227153234</v>
      </c>
      <c r="S2">
        <f>Calcs!S172</f>
        <v>22907289.42693653</v>
      </c>
      <c r="T2">
        <f>Calcs!T172</f>
        <v>22892185.210153401</v>
      </c>
      <c r="U2">
        <f>Calcs!U172</f>
        <v>22876647.707241289</v>
      </c>
      <c r="V2">
        <f>Calcs!V172</f>
        <v>22860674.055175968</v>
      </c>
      <c r="W2">
        <f>Calcs!W172</f>
        <v>22844261.398192085</v>
      </c>
      <c r="X2">
        <f>Calcs!X172</f>
        <v>22840025.514560163</v>
      </c>
      <c r="Y2">
        <f>Calcs!Y172</f>
        <v>22835761.614250377</v>
      </c>
      <c r="Z2">
        <f>Calcs!Z172</f>
        <v>22831469.65187598</v>
      </c>
      <c r="AA2">
        <f>Calcs!AA172</f>
        <v>22827149.582086097</v>
      </c>
      <c r="AB2">
        <f>Calcs!AB172</f>
        <v>22822801.359566476</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13797917.819242569</v>
      </c>
      <c r="C2">
        <f>Calcs!C173</f>
        <v>15806787.790320197</v>
      </c>
      <c r="D2">
        <f>Calcs!D173</f>
        <v>17972849.57765178</v>
      </c>
      <c r="E2">
        <f>Calcs!E173</f>
        <v>20262021.72246217</v>
      </c>
      <c r="F2">
        <f>Calcs!F173</f>
        <v>22614305.753438748</v>
      </c>
      <c r="G2">
        <f>Calcs!G173</f>
        <v>24932164.537096668</v>
      </c>
      <c r="H2">
        <f>Calcs!H173</f>
        <v>27066194.674234644</v>
      </c>
      <c r="I2">
        <f>Calcs!I173</f>
        <v>27492683.857381631</v>
      </c>
      <c r="J2">
        <f>Calcs!J173</f>
        <v>27859219.762832467</v>
      </c>
      <c r="K2">
        <f>Calcs!K173</f>
        <v>28155356.083551612</v>
      </c>
      <c r="L2">
        <f>Calcs!L173</f>
        <v>28369747.841488678</v>
      </c>
      <c r="M2">
        <f>Calcs!M173</f>
        <v>28490283.709767316</v>
      </c>
      <c r="N2">
        <f>Calcs!N173</f>
        <v>28487545.876517043</v>
      </c>
      <c r="O2">
        <f>Calcs!O173</f>
        <v>28476337.871524349</v>
      </c>
      <c r="P2">
        <f>Calcs!P173</f>
        <v>28456383.133851409</v>
      </c>
      <c r="Q2">
        <f>Calcs!Q173</f>
        <v>28427404.832053605</v>
      </c>
      <c r="R2">
        <f>Calcs!R173</f>
        <v>28389126.759945385</v>
      </c>
      <c r="S2">
        <f>Calcs!S173</f>
        <v>28376544.324035373</v>
      </c>
      <c r="T2">
        <f>Calcs!T173</f>
        <v>28363323.264155898</v>
      </c>
      <c r="U2">
        <f>Calcs!U173</f>
        <v>28349458.909994993</v>
      </c>
      <c r="V2">
        <f>Calcs!V173</f>
        <v>28334946.604543734</v>
      </c>
      <c r="W2">
        <f>Calcs!W173</f>
        <v>28319781.705436278</v>
      </c>
      <c r="X2">
        <f>Calcs!X173</f>
        <v>28315782.768055107</v>
      </c>
      <c r="Y2">
        <f>Calcs!Y173</f>
        <v>28311742.064918566</v>
      </c>
      <c r="Z2">
        <f>Calcs!Z173</f>
        <v>28307659.522206448</v>
      </c>
      <c r="AA2">
        <f>Calcs!AA173</f>
        <v>28303535.066170402</v>
      </c>
      <c r="AB2">
        <f>Calcs!AB173</f>
        <v>28299368.623135403</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2026-09-01T22:21:49Z</dcterms:modified>
</cp:coreProperties>
</file>