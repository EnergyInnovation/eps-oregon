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OR/bldgs/SYCEU/"/>
    </mc:Choice>
  </mc:AlternateContent>
  <xr:revisionPtr revIDLastSave="0" documentId="8_{D715D205-C5FF-7847-9D48-B7F29AA8A011}"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8" l="1"/>
  <c r="E5" i="8"/>
  <c r="B2" i="6"/>
  <c r="C3" i="6"/>
  <c r="F5" i="6"/>
  <c r="G5" i="6"/>
  <c r="B2" i="1"/>
  <c r="B2" i="8" s="1"/>
  <c r="B10" i="7" l="1"/>
  <c r="D4" i="6"/>
  <c r="D9" i="8"/>
  <c r="E11" i="7"/>
  <c r="G8" i="7"/>
  <c r="E7" i="7"/>
  <c r="B6" i="7"/>
  <c r="D3" i="7"/>
  <c r="D2" i="8"/>
  <c r="G10" i="8"/>
  <c r="E9" i="8"/>
  <c r="C4" i="6"/>
  <c r="E2" i="7"/>
  <c r="C11" i="7"/>
  <c r="G9" i="7"/>
  <c r="E8" i="7"/>
  <c r="C7" i="7"/>
  <c r="G11" i="8"/>
  <c r="E10" i="8"/>
  <c r="C9" i="8"/>
  <c r="G7" i="8"/>
  <c r="E6" i="8"/>
  <c r="C5" i="8"/>
  <c r="G3" i="8"/>
  <c r="F10" i="6"/>
  <c r="D9" i="6"/>
  <c r="B8" i="6"/>
  <c r="F6" i="6"/>
  <c r="D5" i="6"/>
  <c r="B4" i="6"/>
  <c r="F11" i="6"/>
  <c r="D2" i="7"/>
  <c r="B11" i="7"/>
  <c r="F9" i="7"/>
  <c r="D8" i="7"/>
  <c r="G6" i="7"/>
  <c r="E5" i="7"/>
  <c r="C4" i="7"/>
  <c r="B7" i="7"/>
  <c r="F11" i="8"/>
  <c r="D10" i="8"/>
  <c r="B9" i="8"/>
  <c r="F7" i="8"/>
  <c r="D6" i="8"/>
  <c r="B5" i="8"/>
  <c r="F3" i="8"/>
  <c r="C8" i="8"/>
  <c r="B7" i="6"/>
  <c r="E4" i="7"/>
  <c r="C2" i="8"/>
  <c r="B8" i="8"/>
  <c r="B4" i="8"/>
  <c r="G10" i="6"/>
  <c r="E9" i="6"/>
  <c r="C8" i="6"/>
  <c r="E5" i="6"/>
  <c r="F5" i="7"/>
  <c r="E11" i="6"/>
  <c r="C2" i="7"/>
  <c r="G10" i="7"/>
  <c r="E9" i="7"/>
  <c r="C8" i="7"/>
  <c r="F6" i="7"/>
  <c r="D5" i="7"/>
  <c r="B4" i="7"/>
  <c r="B2" i="7"/>
  <c r="E11" i="8"/>
  <c r="C10" i="8"/>
  <c r="G8" i="8"/>
  <c r="E7" i="8"/>
  <c r="C6" i="8"/>
  <c r="G4" i="8"/>
  <c r="E3" i="8"/>
  <c r="G5" i="7"/>
  <c r="F6" i="8"/>
  <c r="G11" i="6"/>
  <c r="D4" i="7"/>
  <c r="D11" i="6"/>
  <c r="F10" i="7"/>
  <c r="D9" i="7"/>
  <c r="B8" i="7"/>
  <c r="E6" i="7"/>
  <c r="C5" i="7"/>
  <c r="G3" i="7"/>
  <c r="G2" i="8"/>
  <c r="D11" i="8"/>
  <c r="B10" i="8"/>
  <c r="F8" i="8"/>
  <c r="D7" i="8"/>
  <c r="B6" i="8"/>
  <c r="F4" i="8"/>
  <c r="D3" i="8"/>
  <c r="C9" i="6"/>
  <c r="E6" i="6"/>
  <c r="G3" i="6"/>
  <c r="G2" i="6"/>
  <c r="D10" i="6"/>
  <c r="B9" i="6"/>
  <c r="D6" i="6"/>
  <c r="B5" i="6"/>
  <c r="F3" i="6"/>
  <c r="C11" i="6"/>
  <c r="C3" i="8"/>
  <c r="D2" i="6"/>
  <c r="G9" i="6"/>
  <c r="E8" i="6"/>
  <c r="C7" i="6"/>
  <c r="E4" i="6"/>
  <c r="C10" i="7"/>
  <c r="F4" i="7"/>
  <c r="G6" i="8"/>
  <c r="C2" i="6"/>
  <c r="F9" i="6"/>
  <c r="D8" i="6"/>
  <c r="B3" i="6"/>
  <c r="F2" i="7"/>
  <c r="D11" i="7"/>
  <c r="F8" i="7"/>
  <c r="D7" i="7"/>
  <c r="C3" i="7"/>
  <c r="F10" i="8"/>
  <c r="D5" i="8"/>
  <c r="G6" i="6"/>
  <c r="B3" i="7"/>
  <c r="E10" i="6"/>
  <c r="G7" i="6"/>
  <c r="C5" i="6"/>
  <c r="F7" i="6"/>
  <c r="G2" i="7"/>
  <c r="F2" i="6"/>
  <c r="C10" i="6"/>
  <c r="G8" i="6"/>
  <c r="E7" i="6"/>
  <c r="C6" i="6"/>
  <c r="G4" i="6"/>
  <c r="E3" i="6"/>
  <c r="G11" i="7"/>
  <c r="E10" i="7"/>
  <c r="C9" i="7"/>
  <c r="G7" i="7"/>
  <c r="D6" i="7"/>
  <c r="B5" i="7"/>
  <c r="F3" i="7"/>
  <c r="F2" i="8"/>
  <c r="C11" i="8"/>
  <c r="G9" i="8"/>
  <c r="E8" i="8"/>
  <c r="C7" i="8"/>
  <c r="G5"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<sst xmlns="http://schemas.openxmlformats.org/spreadsheetml/2006/main" count="41309" uniqueCount="747">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</sst>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726</v>
      </c>
      <c r="C1" s="68">
        <v>45250</v>
      </c>
      <c r="F1" s="71" t="s">
        <v>622</v>
      </c>
      <c r="G1" s="71" t="s">
        <v>622</v>
      </c>
    </row>
    <row r="2" spans="1:7" x14ac:dyDescent="0.2">
      <c r="A2" s="2"/>
      <c r="B2" s="2" t="str">
        <f>LOOKUP(B1,F2:G51,G2:G51)</f>
        <v>OR</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8761002372515.9199</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4415116610998.0996</v>
      </c>
      <c r="F2" s="66">
        <f>SUMIFS(BCEU!$C:$C,BCEU!$D:$D,About!$B$2,BCEU!$B:$B,'SYCEU-urban-residential'!$A2,BCEU!$G:$G,'SYCEU-urban-residential'!F$1,BCEU!$F:$F, "urban")</f>
        <v>0</v>
      </c>
      <c r="G2" s="66">
        <f>SUMIFS(BCEU!$C:$C,BCEU!$D:$D,About!$B$2,BCEU!$B:$B,'SYCEU-urban-residential'!$A2,BCEU!$G:$G,'SYCEU-urban-residential'!G$1,BCEU!$F:$F, "urban")</f>
        <v>24189665711537.301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23446781762780.602</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1487565466668.1201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17627048412463.102</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122359746024.313</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2104885922628.26</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2122252978126.98</v>
      </c>
      <c r="C2" s="66">
        <f>SUMIFS(BCEU!$C:$C,BCEU!$D:$D,About!$B$2,BCEU!$B:$B,$A2,BCEU!$G:$G,C$1,BCEU!$F:$F, "rural")</f>
        <v>0</v>
      </c>
      <c r="D2" s="66">
        <f>SUMIFS(BCEU!$C:$C,BCEU!$D:$D,About!$B$2,BCEU!$B:$B,$A2,BCEU!$G:$G,D$1,BCEU!$F:$F, "rural")</f>
        <v>0</v>
      </c>
      <c r="E2" s="66">
        <f>SUMIFS(BCEU!$C:$C,BCEU!$D:$D,About!$B$2,BCEU!$B:$B,$A2,BCEU!$G:$G,E$1,BCEU!$F:$F, "rural")</f>
        <v>1067865598207.48</v>
      </c>
      <c r="F2" s="66">
        <f>SUMIFS(BCEU!$C:$C,BCEU!$D:$D,About!$B$2,BCEU!$B:$B,$A2,BCEU!$G:$G,F$1,BCEU!$F:$F, "rural")</f>
        <v>0</v>
      </c>
      <c r="G2" s="66">
        <f>SUMIFS(BCEU!$C:$C,BCEU!$D:$D,About!$B$2,BCEU!$B:$B,$A2,BCEU!$G:$G,G$1,BCEU!$F:$F, "rural")</f>
        <v>5850652229919.2998</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5679715665830.25</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360345780946.14502</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4269951587536.8398</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29640253975.6861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509884625979.45398</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2808933493515.2402</v>
      </c>
      <c r="C2" s="66">
        <f>SUMIFS(BCEU!$C:$C,BCEU!$D:$D,About!$B$2,BCEU!$B:$B,$A2,BCEU!$G:$G,C$1,BCEU!$F:$F, "commercial")</f>
        <v>0</v>
      </c>
      <c r="D2" s="66">
        <f>SUMIFS(BCEU!$C:$C,BCEU!$D:$D,About!$B$2,BCEU!$B:$B,$A2,BCEU!$G:$G,D$1,BCEU!$F:$F, "commercial")</f>
        <v>0</v>
      </c>
      <c r="E2" s="66">
        <f>SUMIFS(BCEU!$C:$C,BCEU!$D:$D,About!$B$2,BCEU!$B:$B,$A2,BCEU!$G:$G,E$1,BCEU!$F:$F, "commercial")</f>
        <v>5698646081901.9199</v>
      </c>
      <c r="F2" s="66">
        <f>SUMIFS(BCEU!$C:$C,BCEU!$D:$D,About!$B$2,BCEU!$B:$B,$A2,BCEU!$G:$G,F$1,BCEU!$F:$F, "commercial")</f>
        <v>0</v>
      </c>
      <c r="G2" s="66">
        <f>SUMIFS(BCEU!$C:$C,BCEU!$D:$D,About!$B$2,BCEU!$B:$B,$A2,BCEU!$G:$G,G$1,BCEU!$F:$F, "commercial")</f>
        <v>29676347512493.898</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12521521475249.301</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7374295737585.1104</v>
      </c>
    </row>
    <row r="5" spans="1:9" x14ac:dyDescent="0.2">
      <c r="A5" s="1" t="s">
        <v>615</v>
      </c>
      <c r="B5" s="66">
        <f>SUMIFS(BCEU!$C:$C,BCEU!$D:$D,About!$B$2,BCEU!$B:$B,$A5,BCEU!$G:$G,B$1,BCEU!$F:$F, "commercial")</f>
        <v>0</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7391214915450.21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2023-11-20T16:53:54Z</dcterms:modified>
</cp:coreProperties>
</file>