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OR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1738</v>
      </c>
      <c r="C4" t="inlineStr">
        <is>
          <t>Bonneville Power Administration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OR</t>
        </is>
      </c>
      <c r="H4" t="inlineStr">
        <is>
          <t>Federal</t>
        </is>
      </c>
      <c r="I4" t="inlineStr">
        <is>
          <t>BPAT</t>
        </is>
      </c>
      <c r="J4" t="inlineStr">
        <is>
          <t>.</t>
        </is>
      </c>
      <c r="K4" t="inlineStr">
        <is>
          <t>.</t>
        </is>
      </c>
      <c r="L4" t="inlineStr">
        <is>
          <t>.</t>
        </is>
      </c>
      <c r="M4" t="n">
        <v>241</v>
      </c>
      <c r="N4" t="n">
        <v>5760</v>
      </c>
      <c r="O4" t="n">
        <v>1</v>
      </c>
      <c r="P4" t="inlineStr">
        <is>
          <t>.</t>
        </is>
      </c>
      <c r="Q4" t="inlineStr">
        <is>
          <t>.</t>
        </is>
      </c>
      <c r="R4" t="inlineStr">
        <is>
          <t>.</t>
        </is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241</v>
      </c>
      <c r="W4" t="n">
        <v>5760</v>
      </c>
      <c r="X4" t="n">
        <v>1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3240</v>
      </c>
      <c r="C5" t="inlineStr">
        <is>
          <t>Central Electric Coop Inc - (OR)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OR</t>
        </is>
      </c>
      <c r="H5" t="inlineStr">
        <is>
          <t>Cooperative</t>
        </is>
      </c>
      <c r="I5" t="inlineStr">
        <is>
          <t>BPAT</t>
        </is>
      </c>
      <c r="J5" t="n">
        <v>55629.6</v>
      </c>
      <c r="K5" t="n">
        <v>570582</v>
      </c>
      <c r="L5" t="n">
        <v>34562</v>
      </c>
      <c r="M5" t="n">
        <v>10862.9</v>
      </c>
      <c r="N5" t="n">
        <v>139184</v>
      </c>
      <c r="O5" t="n">
        <v>3193</v>
      </c>
      <c r="P5" t="n">
        <v>7774.7</v>
      </c>
      <c r="Q5" t="n">
        <v>107080</v>
      </c>
      <c r="R5" t="n">
        <v>1109</v>
      </c>
      <c r="S5" t="n">
        <v>0</v>
      </c>
      <c r="T5" t="n">
        <v>0</v>
      </c>
      <c r="U5" t="n">
        <v>0</v>
      </c>
      <c r="V5" t="n">
        <v>74267.2</v>
      </c>
      <c r="W5" t="n">
        <v>816846</v>
      </c>
      <c r="X5" t="n">
        <v>38864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3264</v>
      </c>
      <c r="C6" t="inlineStr">
        <is>
          <t>Central Lincoln People's Ut Dt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OR</t>
        </is>
      </c>
      <c r="H6" t="inlineStr">
        <is>
          <t>Political Subdivision</t>
        </is>
      </c>
      <c r="I6" t="inlineStr">
        <is>
          <t>BPAT</t>
        </is>
      </c>
      <c r="J6" t="n">
        <v>46668.3</v>
      </c>
      <c r="K6" t="n">
        <v>426809</v>
      </c>
      <c r="L6" t="n">
        <v>35904</v>
      </c>
      <c r="M6" t="n">
        <v>16799.1</v>
      </c>
      <c r="N6" t="n">
        <v>175177</v>
      </c>
      <c r="O6" t="n">
        <v>5418</v>
      </c>
      <c r="P6" t="n">
        <v>30122.3</v>
      </c>
      <c r="Q6" t="n">
        <v>592716</v>
      </c>
      <c r="R6" t="n">
        <v>205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93589.7</v>
      </c>
      <c r="W6" t="n">
        <v>1194702</v>
      </c>
      <c r="X6" t="n">
        <v>41527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4041</v>
      </c>
      <c r="C7" t="inlineStr">
        <is>
          <t>Columbia Rural Elec Assn, Inc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OR</t>
        </is>
      </c>
      <c r="H7" t="inlineStr">
        <is>
          <t>Cooperative</t>
        </is>
      </c>
      <c r="I7" t="inlineStr">
        <is>
          <t>BPAT</t>
        </is>
      </c>
      <c r="J7" t="n">
        <v>113</v>
      </c>
      <c r="K7" t="n">
        <v>873</v>
      </c>
      <c r="L7" t="n">
        <v>44</v>
      </c>
      <c r="M7" t="n">
        <v>27.8</v>
      </c>
      <c r="N7" t="n">
        <v>94</v>
      </c>
      <c r="O7" t="n">
        <v>24</v>
      </c>
      <c r="P7" t="n">
        <v>473.4</v>
      </c>
      <c r="Q7" t="n">
        <v>5121</v>
      </c>
      <c r="R7" t="n">
        <v>61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614.2</v>
      </c>
      <c r="W7" t="n">
        <v>6088</v>
      </c>
      <c r="X7" t="n">
        <v>129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4317</v>
      </c>
      <c r="C8" t="inlineStr">
        <is>
          <t>Coos-Curry Electric Coop, Inc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OR</t>
        </is>
      </c>
      <c r="H8" t="inlineStr">
        <is>
          <t>Cooperative</t>
        </is>
      </c>
      <c r="I8" t="inlineStr">
        <is>
          <t>BPAT</t>
        </is>
      </c>
      <c r="J8" t="n">
        <v>23980.9</v>
      </c>
      <c r="K8" t="n">
        <v>180123</v>
      </c>
      <c r="L8" t="n">
        <v>15869</v>
      </c>
      <c r="M8" t="n">
        <v>10774</v>
      </c>
      <c r="N8" t="n">
        <v>90035</v>
      </c>
      <c r="O8" t="n">
        <v>2239</v>
      </c>
      <c r="P8" t="n">
        <v>5283.6</v>
      </c>
      <c r="Q8" t="n">
        <v>56649</v>
      </c>
      <c r="R8" t="n">
        <v>425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40038.5</v>
      </c>
      <c r="W8" t="n">
        <v>326807</v>
      </c>
      <c r="X8" t="n">
        <v>18533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4410</v>
      </c>
      <c r="C9" t="inlineStr">
        <is>
          <t>Shell Energy North America (US), L.P.</t>
        </is>
      </c>
      <c r="D9" t="inlineStr">
        <is>
          <t>B</t>
        </is>
      </c>
      <c r="E9" t="inlineStr">
        <is>
          <t>Energy</t>
        </is>
      </c>
      <c r="F9" t="inlineStr">
        <is>
          <t>O</t>
        </is>
      </c>
      <c r="G9" t="inlineStr">
        <is>
          <t>OR</t>
        </is>
      </c>
      <c r="H9" t="inlineStr">
        <is>
          <t>Retail Power Marketer</t>
        </is>
      </c>
      <c r="I9" t="inlineStr">
        <is>
          <t>PGE</t>
        </is>
      </c>
      <c r="J9" t="n">
        <v>0</v>
      </c>
      <c r="K9" t="n">
        <v>0</v>
      </c>
      <c r="L9" t="n">
        <v>0</v>
      </c>
      <c r="M9" t="n">
        <v>1404.6</v>
      </c>
      <c r="N9" t="n">
        <v>8003</v>
      </c>
      <c r="O9" t="n">
        <v>3</v>
      </c>
      <c r="P9" t="n">
        <v>7039.5</v>
      </c>
      <c r="Q9" t="n">
        <v>97581</v>
      </c>
      <c r="R9" t="n">
        <v>7</v>
      </c>
      <c r="S9" t="n">
        <v>0</v>
      </c>
      <c r="T9" t="n">
        <v>0</v>
      </c>
      <c r="U9" t="inlineStr">
        <is>
          <t>.</t>
        </is>
      </c>
      <c r="V9" t="n">
        <v>8444.1</v>
      </c>
      <c r="W9" t="n">
        <v>105584</v>
      </c>
      <c r="X9" t="n">
        <v>10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4743</v>
      </c>
      <c r="C10" t="inlineStr">
        <is>
          <t>Consumers Power, Inc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OR</t>
        </is>
      </c>
      <c r="H10" t="inlineStr">
        <is>
          <t>Cooperative</t>
        </is>
      </c>
      <c r="I10" t="inlineStr">
        <is>
          <t>BPAT</t>
        </is>
      </c>
      <c r="J10" t="n">
        <v>34405.7</v>
      </c>
      <c r="K10" t="n">
        <v>264443</v>
      </c>
      <c r="L10" t="n">
        <v>18751</v>
      </c>
      <c r="M10" t="n">
        <v>12879.6</v>
      </c>
      <c r="N10" t="n">
        <v>104148</v>
      </c>
      <c r="O10" t="n">
        <v>4496</v>
      </c>
      <c r="P10" t="n">
        <v>3977.6</v>
      </c>
      <c r="Q10" t="n">
        <v>42198</v>
      </c>
      <c r="R10" t="n">
        <v>522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51262.9</v>
      </c>
      <c r="W10" t="n">
        <v>410789</v>
      </c>
      <c r="X10" t="n">
        <v>23769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6022</v>
      </c>
      <c r="C11" t="inlineStr">
        <is>
          <t>City of Eugene - (OR)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OR</t>
        </is>
      </c>
      <c r="H11" t="inlineStr">
        <is>
          <t>Municipal</t>
        </is>
      </c>
      <c r="I11" t="inlineStr">
        <is>
          <t>BPAT</t>
        </is>
      </c>
      <c r="J11" t="n">
        <v>123745.7</v>
      </c>
      <c r="K11" t="n">
        <v>946592</v>
      </c>
      <c r="L11" t="n">
        <v>89582</v>
      </c>
      <c r="M11" t="n">
        <v>76095.10000000001</v>
      </c>
      <c r="N11" t="n">
        <v>760734</v>
      </c>
      <c r="O11" t="n">
        <v>9176</v>
      </c>
      <c r="P11" t="n">
        <v>36992.2</v>
      </c>
      <c r="Q11" t="n">
        <v>568533</v>
      </c>
      <c r="R11" t="n">
        <v>1181</v>
      </c>
      <c r="S11" t="n">
        <v>0</v>
      </c>
      <c r="T11" t="n">
        <v>0</v>
      </c>
      <c r="U11" t="n">
        <v>0</v>
      </c>
      <c r="V11" t="n">
        <v>236833</v>
      </c>
      <c r="W11" t="n">
        <v>2275859</v>
      </c>
      <c r="X11" t="n">
        <v>99939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6582</v>
      </c>
      <c r="C12" t="inlineStr">
        <is>
          <t>City of Forest Grove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OR</t>
        </is>
      </c>
      <c r="H12" t="inlineStr">
        <is>
          <t>Municipal</t>
        </is>
      </c>
      <c r="I12" t="inlineStr">
        <is>
          <t>BPAT</t>
        </is>
      </c>
      <c r="J12" t="n">
        <v>12076</v>
      </c>
      <c r="K12" t="n">
        <v>121579</v>
      </c>
      <c r="L12" t="n">
        <v>10369</v>
      </c>
      <c r="M12" t="n">
        <v>2179</v>
      </c>
      <c r="N12" t="n">
        <v>24176</v>
      </c>
      <c r="O12" t="n">
        <v>807</v>
      </c>
      <c r="P12" t="n">
        <v>9338</v>
      </c>
      <c r="Q12" t="n">
        <v>118163</v>
      </c>
      <c r="R12" t="n">
        <v>140</v>
      </c>
      <c r="S12" t="n">
        <v>0</v>
      </c>
      <c r="T12" t="n">
        <v>0</v>
      </c>
      <c r="U12" t="n">
        <v>0</v>
      </c>
      <c r="V12" t="n">
        <v>23593</v>
      </c>
      <c r="W12" t="n">
        <v>263918</v>
      </c>
      <c r="X12" t="n">
        <v>11316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9191</v>
      </c>
      <c r="C13" t="inlineStr">
        <is>
          <t>Idaho Power Co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OR</t>
        </is>
      </c>
      <c r="H13" t="inlineStr">
        <is>
          <t>Investor Owned</t>
        </is>
      </c>
      <c r="I13" t="inlineStr">
        <is>
          <t>IPCO</t>
        </is>
      </c>
      <c r="J13" t="n">
        <v>21052</v>
      </c>
      <c r="K13" t="n">
        <v>186456</v>
      </c>
      <c r="L13" t="n">
        <v>14098</v>
      </c>
      <c r="M13" t="n">
        <v>15188.4</v>
      </c>
      <c r="N13" t="n">
        <v>155552</v>
      </c>
      <c r="O13" t="n">
        <v>3666</v>
      </c>
      <c r="P13" t="n">
        <v>28229</v>
      </c>
      <c r="Q13" t="n">
        <v>331932</v>
      </c>
      <c r="R13" t="n">
        <v>2430</v>
      </c>
      <c r="S13" t="n">
        <v>0</v>
      </c>
      <c r="T13" t="n">
        <v>0</v>
      </c>
      <c r="U13" t="n">
        <v>0</v>
      </c>
      <c r="V13" t="n">
        <v>64469.4</v>
      </c>
      <c r="W13" t="n">
        <v>673940</v>
      </c>
      <c r="X13" t="n">
        <v>20194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10681</v>
      </c>
      <c r="C14" t="inlineStr">
        <is>
          <t>Lane Electric Coop Inc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OR</t>
        </is>
      </c>
      <c r="H14" t="inlineStr">
        <is>
          <t>Cooperative</t>
        </is>
      </c>
      <c r="I14" t="inlineStr">
        <is>
          <t>BPAT</t>
        </is>
      </c>
      <c r="J14" t="n">
        <v>23235</v>
      </c>
      <c r="K14" t="n">
        <v>185173</v>
      </c>
      <c r="L14" t="n">
        <v>12413</v>
      </c>
      <c r="M14" t="n">
        <v>4667</v>
      </c>
      <c r="N14" t="n">
        <v>43047</v>
      </c>
      <c r="O14" t="n">
        <v>1092</v>
      </c>
      <c r="P14" t="n">
        <v>430.4</v>
      </c>
      <c r="Q14" t="n">
        <v>5823</v>
      </c>
      <c r="R14" t="n">
        <v>2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28332.4</v>
      </c>
      <c r="W14" t="n">
        <v>234043</v>
      </c>
      <c r="X14" t="n">
        <v>13507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12187</v>
      </c>
      <c r="C15" t="inlineStr">
        <is>
          <t>City of McMinnville - (OR)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OR</t>
        </is>
      </c>
      <c r="H15" t="inlineStr">
        <is>
          <t>Municipal</t>
        </is>
      </c>
      <c r="I15" t="inlineStr">
        <is>
          <t>BPAT</t>
        </is>
      </c>
      <c r="J15" t="n">
        <v>15461</v>
      </c>
      <c r="K15" t="n">
        <v>204575</v>
      </c>
      <c r="L15" t="n">
        <v>17190</v>
      </c>
      <c r="M15" t="n">
        <v>12479</v>
      </c>
      <c r="N15" t="n">
        <v>163461</v>
      </c>
      <c r="O15" t="n">
        <v>2984</v>
      </c>
      <c r="P15" t="n">
        <v>14269</v>
      </c>
      <c r="Q15" t="n">
        <v>358163</v>
      </c>
      <c r="R15" t="n">
        <v>58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42209</v>
      </c>
      <c r="W15" t="n">
        <v>726199</v>
      </c>
      <c r="X15" t="n">
        <v>20232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12439</v>
      </c>
      <c r="C16" t="inlineStr">
        <is>
          <t>Midstate Electric Coop, Inc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OR</t>
        </is>
      </c>
      <c r="H16" t="inlineStr">
        <is>
          <t>Cooperative</t>
        </is>
      </c>
      <c r="I16" t="inlineStr">
        <is>
          <t>BPAT</t>
        </is>
      </c>
      <c r="J16" t="n">
        <v>30323</v>
      </c>
      <c r="K16" t="n">
        <v>288117</v>
      </c>
      <c r="L16" t="n">
        <v>18594</v>
      </c>
      <c r="M16" t="n">
        <v>11378</v>
      </c>
      <c r="N16" t="n">
        <v>127546</v>
      </c>
      <c r="O16" t="n">
        <v>2917</v>
      </c>
      <c r="P16" t="n">
        <v>3102</v>
      </c>
      <c r="Q16" t="n">
        <v>37552</v>
      </c>
      <c r="R16" t="n">
        <v>6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44803</v>
      </c>
      <c r="W16" t="n">
        <v>453215</v>
      </c>
      <c r="X16" t="n">
        <v>21517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13374</v>
      </c>
      <c r="C17" t="inlineStr">
        <is>
          <t>Constellation NewEnergy, Inc</t>
        </is>
      </c>
      <c r="D17" t="inlineStr">
        <is>
          <t>B</t>
        </is>
      </c>
      <c r="E17" t="inlineStr">
        <is>
          <t>Energy</t>
        </is>
      </c>
      <c r="F17" t="inlineStr">
        <is>
          <t>O</t>
        </is>
      </c>
      <c r="G17" t="inlineStr">
        <is>
          <t>OR</t>
        </is>
      </c>
      <c r="H17" t="inlineStr">
        <is>
          <t>Retail Power Marketer</t>
        </is>
      </c>
      <c r="I17" t="inlineStr">
        <is>
          <t>PGE</t>
        </is>
      </c>
      <c r="J17" t="n">
        <v>0</v>
      </c>
      <c r="K17" t="n">
        <v>0</v>
      </c>
      <c r="L17" t="n">
        <v>0</v>
      </c>
      <c r="M17" t="n">
        <v>19382.7</v>
      </c>
      <c r="N17" t="n">
        <v>222425</v>
      </c>
      <c r="O17" t="n">
        <v>77</v>
      </c>
      <c r="P17" t="n">
        <v>13088.3</v>
      </c>
      <c r="Q17" t="n">
        <v>147460</v>
      </c>
      <c r="R17" t="n">
        <v>18</v>
      </c>
      <c r="S17" t="n">
        <v>0</v>
      </c>
      <c r="T17" t="n">
        <v>0</v>
      </c>
      <c r="U17" t="n">
        <v>0</v>
      </c>
      <c r="V17" t="n">
        <v>32471</v>
      </c>
      <c r="W17" t="n">
        <v>369885</v>
      </c>
      <c r="X17" t="n">
        <v>95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13788</v>
      </c>
      <c r="C18" t="inlineStr">
        <is>
          <t>Northern Wasco County PUD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OR</t>
        </is>
      </c>
      <c r="H18" t="inlineStr">
        <is>
          <t>Political Subdivision</t>
        </is>
      </c>
      <c r="I18" t="inlineStr">
        <is>
          <t>BPAT</t>
        </is>
      </c>
      <c r="J18" t="n">
        <v>11221</v>
      </c>
      <c r="K18" t="n">
        <v>145326</v>
      </c>
      <c r="L18" t="n">
        <v>9800</v>
      </c>
      <c r="M18" t="n">
        <v>2814.8</v>
      </c>
      <c r="N18" t="n">
        <v>121887</v>
      </c>
      <c r="O18" t="n">
        <v>502</v>
      </c>
      <c r="P18" t="n">
        <v>100335.2</v>
      </c>
      <c r="Q18" t="n">
        <v>1263389</v>
      </c>
      <c r="R18" t="n">
        <v>190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114371</v>
      </c>
      <c r="W18" t="n">
        <v>1530602</v>
      </c>
      <c r="X18" t="n">
        <v>10492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14109</v>
      </c>
      <c r="C19" t="inlineStr">
        <is>
          <t>Oregon Trail El Cons Coop, Inc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OR</t>
        </is>
      </c>
      <c r="H19" t="inlineStr">
        <is>
          <t>Cooperative</t>
        </is>
      </c>
      <c r="I19" t="inlineStr">
        <is>
          <t>BPAT</t>
        </is>
      </c>
      <c r="J19" t="n">
        <v>31515</v>
      </c>
      <c r="K19" t="n">
        <v>312802</v>
      </c>
      <c r="L19" t="n">
        <v>25997</v>
      </c>
      <c r="M19" t="n">
        <v>16193</v>
      </c>
      <c r="N19" t="n">
        <v>190990</v>
      </c>
      <c r="O19" t="n">
        <v>4500</v>
      </c>
      <c r="P19" t="n">
        <v>10343</v>
      </c>
      <c r="Q19" t="n">
        <v>171374</v>
      </c>
      <c r="R19" t="n">
        <v>1326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58051</v>
      </c>
      <c r="W19" t="n">
        <v>675166</v>
      </c>
      <c r="X19" t="n">
        <v>31823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14349</v>
      </c>
      <c r="C20" t="inlineStr">
        <is>
          <t>Avangrid Power, LLC</t>
        </is>
      </c>
      <c r="D20" t="inlineStr">
        <is>
          <t>B</t>
        </is>
      </c>
      <c r="E20" t="inlineStr">
        <is>
          <t>Energy</t>
        </is>
      </c>
      <c r="F20" t="inlineStr">
        <is>
          <t>O</t>
        </is>
      </c>
      <c r="G20" t="inlineStr">
        <is>
          <t>OR</t>
        </is>
      </c>
      <c r="H20" t="inlineStr">
        <is>
          <t>Retail Power Marketer</t>
        </is>
      </c>
      <c r="I20" t="inlineStr">
        <is>
          <t>PACW</t>
        </is>
      </c>
      <c r="J20" t="n">
        <v>0</v>
      </c>
      <c r="K20" t="n">
        <v>0</v>
      </c>
      <c r="L20" t="n">
        <v>0</v>
      </c>
      <c r="M20" t="n">
        <v>19936</v>
      </c>
      <c r="N20" t="n">
        <v>376274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19936</v>
      </c>
      <c r="W20" t="n">
        <v>376274</v>
      </c>
      <c r="X20" t="n">
        <v>2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14354</v>
      </c>
      <c r="C21" t="inlineStr">
        <is>
          <t>PacifiCorp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OR</t>
        </is>
      </c>
      <c r="H21" t="inlineStr">
        <is>
          <t>Investor Owned</t>
        </is>
      </c>
      <c r="I21" t="inlineStr">
        <is>
          <t>PACW</t>
        </is>
      </c>
      <c r="J21" t="n">
        <v>812639.6</v>
      </c>
      <c r="K21" t="n">
        <v>5796437</v>
      </c>
      <c r="L21" t="n">
        <v>547235</v>
      </c>
      <c r="M21" t="n">
        <v>699667</v>
      </c>
      <c r="N21" t="n">
        <v>6576188</v>
      </c>
      <c r="O21" t="n">
        <v>73270</v>
      </c>
      <c r="P21" t="n">
        <v>161511.2</v>
      </c>
      <c r="Q21" t="n">
        <v>1606528</v>
      </c>
      <c r="R21" t="n">
        <v>8981</v>
      </c>
      <c r="S21" t="n">
        <v>1549</v>
      </c>
      <c r="T21" t="n">
        <v>11960</v>
      </c>
      <c r="U21" t="n">
        <v>1</v>
      </c>
      <c r="V21" t="n">
        <v>1675366.8</v>
      </c>
      <c r="W21" t="n">
        <v>13991113</v>
      </c>
      <c r="X21" t="n">
        <v>629487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14354</v>
      </c>
      <c r="C22" t="inlineStr">
        <is>
          <t>PacifiCorp</t>
        </is>
      </c>
      <c r="D22" t="inlineStr">
        <is>
          <t>C</t>
        </is>
      </c>
      <c r="E22" t="inlineStr">
        <is>
          <t>Delivery</t>
        </is>
      </c>
      <c r="F22" t="inlineStr">
        <is>
          <t>O</t>
        </is>
      </c>
      <c r="G22" t="inlineStr">
        <is>
          <t>OR</t>
        </is>
      </c>
      <c r="H22" t="inlineStr">
        <is>
          <t>Investor Owned</t>
        </is>
      </c>
      <c r="I22" t="inlineStr">
        <is>
          <t>PACW</t>
        </is>
      </c>
      <c r="J22" t="n">
        <v>0</v>
      </c>
      <c r="K22" t="n">
        <v>0</v>
      </c>
      <c r="L22" t="n">
        <v>0</v>
      </c>
      <c r="M22" t="n">
        <v>6670.3</v>
      </c>
      <c r="N22" t="n">
        <v>368602</v>
      </c>
      <c r="O22" t="n">
        <v>39</v>
      </c>
      <c r="P22" t="n">
        <v>3330.8</v>
      </c>
      <c r="Q22" t="n">
        <v>86958</v>
      </c>
      <c r="R22" t="n">
        <v>3</v>
      </c>
      <c r="S22" t="n">
        <v>0</v>
      </c>
      <c r="T22" t="n">
        <v>0</v>
      </c>
      <c r="U22" t="n">
        <v>0</v>
      </c>
      <c r="V22" t="n">
        <v>10001.1</v>
      </c>
      <c r="W22" t="n">
        <v>455560</v>
      </c>
      <c r="X22" t="n">
        <v>42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15248</v>
      </c>
      <c r="C23" t="inlineStr">
        <is>
          <t>Portland General Electric Co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OR</t>
        </is>
      </c>
      <c r="H23" t="inlineStr">
        <is>
          <t>Investor Owned</t>
        </is>
      </c>
      <c r="I23" t="inlineStr">
        <is>
          <t>PGE</t>
        </is>
      </c>
      <c r="J23" t="n">
        <v>1406371</v>
      </c>
      <c r="K23" t="n">
        <v>7731594</v>
      </c>
      <c r="L23" t="n">
        <v>828857</v>
      </c>
      <c r="M23" t="n">
        <v>892382</v>
      </c>
      <c r="N23" t="n">
        <v>6433391</v>
      </c>
      <c r="O23" t="n">
        <v>109268</v>
      </c>
      <c r="P23" t="n">
        <v>451099</v>
      </c>
      <c r="Q23" t="n">
        <v>5097435</v>
      </c>
      <c r="R23" t="n">
        <v>4257</v>
      </c>
      <c r="S23" t="n">
        <v>1230</v>
      </c>
      <c r="T23" t="n">
        <v>10202</v>
      </c>
      <c r="U23" t="n">
        <v>1</v>
      </c>
      <c r="V23" t="n">
        <v>2751082</v>
      </c>
      <c r="W23" t="n">
        <v>19272622</v>
      </c>
      <c r="X23" t="n">
        <v>942383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15248</v>
      </c>
      <c r="C24" t="inlineStr">
        <is>
          <t>Portland General Electric Co</t>
        </is>
      </c>
      <c r="D24" t="inlineStr">
        <is>
          <t>C</t>
        </is>
      </c>
      <c r="E24" t="inlineStr">
        <is>
          <t>Delivery</t>
        </is>
      </c>
      <c r="F24" t="inlineStr">
        <is>
          <t>O</t>
        </is>
      </c>
      <c r="G24" t="inlineStr">
        <is>
          <t>OR</t>
        </is>
      </c>
      <c r="H24" t="inlineStr">
        <is>
          <t>Investor Owned</t>
        </is>
      </c>
      <c r="I24" t="inlineStr">
        <is>
          <t>PGE</t>
        </is>
      </c>
      <c r="J24" t="inlineStr">
        <is>
          <t>.</t>
        </is>
      </c>
      <c r="K24" t="inlineStr">
        <is>
          <t>.</t>
        </is>
      </c>
      <c r="L24" t="inlineStr">
        <is>
          <t>.</t>
        </is>
      </c>
      <c r="M24" t="n">
        <v>9557</v>
      </c>
      <c r="N24" t="n">
        <v>514842</v>
      </c>
      <c r="O24" t="n">
        <v>424</v>
      </c>
      <c r="P24" t="n">
        <v>22390</v>
      </c>
      <c r="Q24" t="n">
        <v>1909068</v>
      </c>
      <c r="R24" t="n">
        <v>73</v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31947</v>
      </c>
      <c r="W24" t="n">
        <v>2423910</v>
      </c>
      <c r="X24" t="n">
        <v>497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16555</v>
      </c>
      <c r="C25" t="inlineStr">
        <is>
          <t>Salem Electric - (OR)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OR</t>
        </is>
      </c>
      <c r="H25" t="inlineStr">
        <is>
          <t>Cooperative</t>
        </is>
      </c>
      <c r="I25" t="inlineStr">
        <is>
          <t>BPAT</t>
        </is>
      </c>
      <c r="J25" t="n">
        <v>21211</v>
      </c>
      <c r="K25" t="n">
        <v>192449</v>
      </c>
      <c r="L25" t="n">
        <v>18385</v>
      </c>
      <c r="M25" t="n">
        <v>10492</v>
      </c>
      <c r="N25" t="n">
        <v>106192</v>
      </c>
      <c r="O25" t="n">
        <v>2453</v>
      </c>
      <c r="P25" t="n">
        <v>1815</v>
      </c>
      <c r="Q25" t="n">
        <v>19160</v>
      </c>
      <c r="R25" t="n">
        <v>7</v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33518</v>
      </c>
      <c r="W25" t="n">
        <v>317801</v>
      </c>
      <c r="X25" t="n">
        <v>20845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16840</v>
      </c>
      <c r="C26" t="inlineStr">
        <is>
          <t>Calpine Energy Solutions, LLC</t>
        </is>
      </c>
      <c r="D26" t="inlineStr">
        <is>
          <t>B</t>
        </is>
      </c>
      <c r="E26" t="inlineStr">
        <is>
          <t>Energy</t>
        </is>
      </c>
      <c r="F26" t="inlineStr">
        <is>
          <t>O</t>
        </is>
      </c>
      <c r="G26" t="inlineStr">
        <is>
          <t>OR</t>
        </is>
      </c>
      <c r="H26" t="inlineStr">
        <is>
          <t>Retail Power Marketer</t>
        </is>
      </c>
      <c r="I26" t="inlineStr">
        <is>
          <t>PACW</t>
        </is>
      </c>
      <c r="J26" t="n">
        <v>0</v>
      </c>
      <c r="K26" t="n">
        <v>0</v>
      </c>
      <c r="L26" t="n">
        <v>0</v>
      </c>
      <c r="M26" t="n">
        <v>12984.6</v>
      </c>
      <c r="N26" t="n">
        <v>128896</v>
      </c>
      <c r="O26" t="n">
        <v>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12984.6</v>
      </c>
      <c r="W26" t="n">
        <v>128896</v>
      </c>
      <c r="X26" t="n">
        <v>4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16840</v>
      </c>
      <c r="C27" t="inlineStr">
        <is>
          <t>Calpine Energy Solutions, LLC</t>
        </is>
      </c>
      <c r="D27" t="inlineStr">
        <is>
          <t>B</t>
        </is>
      </c>
      <c r="E27" t="inlineStr">
        <is>
          <t>Energy</t>
        </is>
      </c>
      <c r="F27" t="inlineStr">
        <is>
          <t>O</t>
        </is>
      </c>
      <c r="G27" t="inlineStr">
        <is>
          <t>OR</t>
        </is>
      </c>
      <c r="H27" t="inlineStr">
        <is>
          <t>Retail Power Marketer</t>
        </is>
      </c>
      <c r="I27" t="inlineStr">
        <is>
          <t>PGE</t>
        </is>
      </c>
      <c r="J27" t="n">
        <v>0</v>
      </c>
      <c r="K27" t="n">
        <v>0</v>
      </c>
      <c r="L27" t="n">
        <v>0</v>
      </c>
      <c r="M27" t="n">
        <v>126248.3</v>
      </c>
      <c r="N27" t="n">
        <v>1549337</v>
      </c>
      <c r="O27" t="n">
        <v>23</v>
      </c>
      <c r="P27" t="n">
        <v>17111</v>
      </c>
      <c r="Q27" t="n">
        <v>252802</v>
      </c>
      <c r="R27" t="n">
        <v>3</v>
      </c>
      <c r="S27" t="n">
        <v>0</v>
      </c>
      <c r="T27" t="n">
        <v>0</v>
      </c>
      <c r="U27" t="n">
        <v>0</v>
      </c>
      <c r="V27" t="n">
        <v>143359.3</v>
      </c>
      <c r="W27" t="n">
        <v>1802139</v>
      </c>
      <c r="X27" t="n">
        <v>26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17839</v>
      </c>
      <c r="C28" t="inlineStr">
        <is>
          <t>City of Springfield - (OR)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OR</t>
        </is>
      </c>
      <c r="H28" t="inlineStr">
        <is>
          <t>Municipal</t>
        </is>
      </c>
      <c r="I28" t="inlineStr">
        <is>
          <t>BPAT</t>
        </is>
      </c>
      <c r="J28" t="n">
        <v>29315.7</v>
      </c>
      <c r="K28" t="n">
        <v>361741</v>
      </c>
      <c r="L28" t="n">
        <v>29882</v>
      </c>
      <c r="M28" t="n">
        <v>18293.3</v>
      </c>
      <c r="N28" t="n">
        <v>233897</v>
      </c>
      <c r="O28" t="n">
        <v>3141</v>
      </c>
      <c r="P28" t="n">
        <v>9215.9</v>
      </c>
      <c r="Q28" t="n">
        <v>127870</v>
      </c>
      <c r="R28" t="n">
        <v>124</v>
      </c>
      <c r="S28" t="inlineStr">
        <is>
          <t>.</t>
        </is>
      </c>
      <c r="T28" t="inlineStr">
        <is>
          <t>.</t>
        </is>
      </c>
      <c r="U28" t="inlineStr">
        <is>
          <t>.</t>
        </is>
      </c>
      <c r="V28" t="n">
        <v>56824.9</v>
      </c>
      <c r="W28" t="n">
        <v>723508</v>
      </c>
      <c r="X28" t="n">
        <v>33147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18260</v>
      </c>
      <c r="C29" t="inlineStr">
        <is>
          <t>Surprise Valley Electrification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OR</t>
        </is>
      </c>
      <c r="H29" t="inlineStr">
        <is>
          <t>Cooperative</t>
        </is>
      </c>
      <c r="I29" t="inlineStr">
        <is>
          <t>PACW</t>
        </is>
      </c>
      <c r="J29" t="n">
        <v>2153.7</v>
      </c>
      <c r="K29" t="n">
        <v>16861</v>
      </c>
      <c r="L29" t="n">
        <v>1211</v>
      </c>
      <c r="M29" t="n">
        <v>729.3</v>
      </c>
      <c r="N29" t="n">
        <v>5275</v>
      </c>
      <c r="O29" t="n">
        <v>472</v>
      </c>
      <c r="P29" t="n">
        <v>1991.1</v>
      </c>
      <c r="Q29" t="n">
        <v>16700</v>
      </c>
      <c r="R29" t="n">
        <v>285</v>
      </c>
      <c r="S29" t="n">
        <v>0</v>
      </c>
      <c r="T29" t="n">
        <v>0</v>
      </c>
      <c r="U29" t="n">
        <v>0</v>
      </c>
      <c r="V29" t="n">
        <v>4874.1</v>
      </c>
      <c r="W29" t="n">
        <v>38836</v>
      </c>
      <c r="X29" t="n">
        <v>1968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18917</v>
      </c>
      <c r="C30" t="inlineStr">
        <is>
          <t>Tillamook Peoples Utility Dist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OR</t>
        </is>
      </c>
      <c r="H30" t="inlineStr">
        <is>
          <t>Political Subdivision</t>
        </is>
      </c>
      <c r="I30" t="inlineStr">
        <is>
          <t>BPAT</t>
        </is>
      </c>
      <c r="J30" t="n">
        <v>29567</v>
      </c>
      <c r="K30" t="n">
        <v>250104</v>
      </c>
      <c r="L30" t="n">
        <v>20133</v>
      </c>
      <c r="M30" t="n">
        <v>10926</v>
      </c>
      <c r="N30" t="n">
        <v>129604</v>
      </c>
      <c r="O30" t="n">
        <v>2310</v>
      </c>
      <c r="P30" t="n">
        <v>6342</v>
      </c>
      <c r="Q30" t="n">
        <v>109865</v>
      </c>
      <c r="R30" t="n">
        <v>6</v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46835</v>
      </c>
      <c r="W30" t="n">
        <v>489573</v>
      </c>
      <c r="X30" t="n">
        <v>22449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19325</v>
      </c>
      <c r="C31" t="inlineStr">
        <is>
          <t>Umatilla Electric Coop Assn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OR</t>
        </is>
      </c>
      <c r="H31" t="inlineStr">
        <is>
          <t>Cooperative</t>
        </is>
      </c>
      <c r="I31" t="inlineStr">
        <is>
          <t>BPAT</t>
        </is>
      </c>
      <c r="J31" t="n">
        <v>17894.8</v>
      </c>
      <c r="K31" t="n">
        <v>181783</v>
      </c>
      <c r="L31" t="n">
        <v>12620</v>
      </c>
      <c r="M31" t="n">
        <v>518443.4</v>
      </c>
      <c r="N31" t="n">
        <v>7507887</v>
      </c>
      <c r="O31" t="n">
        <v>2472</v>
      </c>
      <c r="P31" t="n">
        <v>44316.1</v>
      </c>
      <c r="Q31" t="n">
        <v>742260</v>
      </c>
      <c r="R31" t="n">
        <v>1554</v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580654.3</v>
      </c>
      <c r="W31" t="n">
        <v>8431930</v>
      </c>
      <c r="X31" t="n">
        <v>16646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28541</v>
      </c>
      <c r="C32" t="inlineStr">
        <is>
          <t>Clatskanie Peoples Util Dist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OR</t>
        </is>
      </c>
      <c r="H32" t="inlineStr">
        <is>
          <t>Political Subdivision</t>
        </is>
      </c>
      <c r="I32" t="inlineStr">
        <is>
          <t>BPAT</t>
        </is>
      </c>
      <c r="J32" t="n">
        <v>5274.8</v>
      </c>
      <c r="K32" t="n">
        <v>69492</v>
      </c>
      <c r="L32" t="n">
        <v>3761</v>
      </c>
      <c r="M32" t="n">
        <v>1517.9</v>
      </c>
      <c r="N32" t="n">
        <v>21775</v>
      </c>
      <c r="O32" t="n">
        <v>545</v>
      </c>
      <c r="P32" t="n">
        <v>50372.3</v>
      </c>
      <c r="Q32" t="n">
        <v>871556</v>
      </c>
      <c r="R32" t="n">
        <v>6</v>
      </c>
      <c r="S32" t="n">
        <v>0</v>
      </c>
      <c r="T32" t="n">
        <v>0</v>
      </c>
      <c r="U32" t="n">
        <v>0</v>
      </c>
      <c r="V32" t="n">
        <v>57165</v>
      </c>
      <c r="W32" t="n">
        <v>962823</v>
      </c>
      <c r="X32" t="n">
        <v>4312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40437</v>
      </c>
      <c r="C33" t="inlineStr">
        <is>
          <t>Emerald People's Utility Dist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OR</t>
        </is>
      </c>
      <c r="H33" t="inlineStr">
        <is>
          <t>Political Subdivision</t>
        </is>
      </c>
      <c r="I33" t="inlineStr">
        <is>
          <t>PACW</t>
        </is>
      </c>
      <c r="J33" t="n">
        <v>32181.6</v>
      </c>
      <c r="K33" t="n">
        <v>291288</v>
      </c>
      <c r="L33" t="n">
        <v>19968</v>
      </c>
      <c r="M33" t="n">
        <v>11900</v>
      </c>
      <c r="N33" t="n">
        <v>112866</v>
      </c>
      <c r="O33" t="n">
        <v>2360</v>
      </c>
      <c r="P33" t="n">
        <v>5810.7</v>
      </c>
      <c r="Q33" t="n">
        <v>71710</v>
      </c>
      <c r="R33" t="n">
        <v>749</v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49892.3</v>
      </c>
      <c r="W33" t="n">
        <v>475864</v>
      </c>
      <c r="X33" t="n">
        <v>23077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40437</v>
      </c>
      <c r="C34" t="inlineStr">
        <is>
          <t>Emerald People's Utility Dist</t>
        </is>
      </c>
      <c r="D34" t="inlineStr">
        <is>
          <t>C</t>
        </is>
      </c>
      <c r="E34" t="inlineStr">
        <is>
          <t>Delivery</t>
        </is>
      </c>
      <c r="F34" t="inlineStr">
        <is>
          <t>O</t>
        </is>
      </c>
      <c r="G34" t="inlineStr">
        <is>
          <t>OR</t>
        </is>
      </c>
      <c r="H34" t="inlineStr">
        <is>
          <t>Political Subdivision</t>
        </is>
      </c>
      <c r="I34" t="inlineStr">
        <is>
          <t>PACW</t>
        </is>
      </c>
      <c r="J34" t="inlineStr">
        <is>
          <t>.</t>
        </is>
      </c>
      <c r="K34" t="inlineStr">
        <is>
          <t>.</t>
        </is>
      </c>
      <c r="L34" t="inlineStr">
        <is>
          <t>.</t>
        </is>
      </c>
      <c r="M34" t="inlineStr">
        <is>
          <t>.</t>
        </is>
      </c>
      <c r="N34" t="inlineStr">
        <is>
          <t>.</t>
        </is>
      </c>
      <c r="O34" t="inlineStr">
        <is>
          <t>.</t>
        </is>
      </c>
      <c r="P34" t="n">
        <v>1855.6</v>
      </c>
      <c r="Q34" t="n">
        <v>316404</v>
      </c>
      <c r="R34" t="n">
        <v>2</v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1855.6</v>
      </c>
      <c r="W34" t="n">
        <v>316404</v>
      </c>
      <c r="X34" t="n">
        <v>2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40438</v>
      </c>
      <c r="C35" t="inlineStr">
        <is>
          <t>Columbia River Peoples Ut Dist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OR</t>
        </is>
      </c>
      <c r="H35" t="inlineStr">
        <is>
          <t>Political Subdivision</t>
        </is>
      </c>
      <c r="I35" t="inlineStr">
        <is>
          <t>BPAT</t>
        </is>
      </c>
      <c r="J35" t="n">
        <v>21464.4</v>
      </c>
      <c r="K35" t="n">
        <v>231555</v>
      </c>
      <c r="L35" t="n">
        <v>16378</v>
      </c>
      <c r="M35" t="n">
        <v>8563.9</v>
      </c>
      <c r="N35" t="n">
        <v>94610</v>
      </c>
      <c r="O35" t="n">
        <v>1092</v>
      </c>
      <c r="P35" t="n">
        <v>8090.8</v>
      </c>
      <c r="Q35" t="n">
        <v>148966</v>
      </c>
      <c r="R35" t="n">
        <v>26</v>
      </c>
      <c r="S35" t="n">
        <v>0</v>
      </c>
      <c r="T35" t="n">
        <v>0</v>
      </c>
      <c r="U35" t="n">
        <v>0</v>
      </c>
      <c r="V35" t="n">
        <v>38119.1</v>
      </c>
      <c r="W35" t="n">
        <v>475131</v>
      </c>
      <c r="X35" t="n">
        <v>17496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57313</v>
      </c>
      <c r="C36" t="inlineStr">
        <is>
          <t>Tesla Inc.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OR</t>
        </is>
      </c>
      <c r="H36" t="inlineStr">
        <is>
          <t>Behind the Meter</t>
        </is>
      </c>
      <c r="I36" t="inlineStr">
        <is>
          <t>BPAT</t>
        </is>
      </c>
      <c r="J36" t="n">
        <v>7</v>
      </c>
      <c r="K36" t="n">
        <v>83</v>
      </c>
      <c r="L36" t="n">
        <v>17</v>
      </c>
      <c r="M36" t="n">
        <v>100</v>
      </c>
      <c r="N36" t="n">
        <v>1095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</v>
      </c>
      <c r="W36" t="n">
        <v>1178</v>
      </c>
      <c r="X36" t="n">
        <v>19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57313</v>
      </c>
      <c r="C37" t="inlineStr">
        <is>
          <t>Tesla Inc.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OR</t>
        </is>
      </c>
      <c r="H37" t="inlineStr">
        <is>
          <t>Behind the Meter</t>
        </is>
      </c>
      <c r="I37" t="inlineStr">
        <is>
          <t>PACW</t>
        </is>
      </c>
      <c r="J37" t="n">
        <v>217</v>
      </c>
      <c r="K37" t="n">
        <v>2319</v>
      </c>
      <c r="L37" t="n">
        <v>475</v>
      </c>
      <c r="M37" t="n">
        <v>248</v>
      </c>
      <c r="N37" t="n">
        <v>3478</v>
      </c>
      <c r="O37" t="n">
        <v>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465</v>
      </c>
      <c r="W37" t="n">
        <v>5797</v>
      </c>
      <c r="X37" t="n">
        <v>502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57313</v>
      </c>
      <c r="C38" t="inlineStr">
        <is>
          <t>Tesla Inc.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OR</t>
        </is>
      </c>
      <c r="H38" t="inlineStr">
        <is>
          <t>Behind the Meter</t>
        </is>
      </c>
      <c r="I38" t="inlineStr">
        <is>
          <t>PGE</t>
        </is>
      </c>
      <c r="J38" t="n">
        <v>1535</v>
      </c>
      <c r="K38" t="n">
        <v>15088</v>
      </c>
      <c r="L38" t="n">
        <v>3167</v>
      </c>
      <c r="M38" t="n">
        <v>248</v>
      </c>
      <c r="N38" t="n">
        <v>3120</v>
      </c>
      <c r="O38" t="n">
        <v>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1783</v>
      </c>
      <c r="W38" t="n">
        <v>18208</v>
      </c>
      <c r="X38" t="n">
        <v>3186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59579</v>
      </c>
      <c r="C39" t="inlineStr">
        <is>
          <t>Sunnova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OR</t>
        </is>
      </c>
      <c r="H39" t="inlineStr">
        <is>
          <t>Behind the Meter</t>
        </is>
      </c>
      <c r="I39" t="inlineStr">
        <is>
          <t>PGE</t>
        </is>
      </c>
      <c r="J39" t="n">
        <v>6.2</v>
      </c>
      <c r="K39" t="n">
        <v>18</v>
      </c>
      <c r="L39" t="n">
        <v>15</v>
      </c>
      <c r="M39" t="inlineStr">
        <is>
          <t>.</t>
        </is>
      </c>
      <c r="N39" t="inlineStr">
        <is>
          <t>.</t>
        </is>
      </c>
      <c r="O39" t="inlineStr">
        <is>
          <t>.</t>
        </is>
      </c>
      <c r="P39" t="inlineStr">
        <is>
          <t>.</t>
        </is>
      </c>
      <c r="Q39" t="inlineStr">
        <is>
          <t>.</t>
        </is>
      </c>
      <c r="R39" t="inlineStr">
        <is>
          <t>.</t>
        </is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n">
        <v>6.2</v>
      </c>
      <c r="W39" t="n">
        <v>18</v>
      </c>
      <c r="X39" t="n">
        <v>15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59622</v>
      </c>
      <c r="C40" t="inlineStr">
        <is>
          <t>Ahana Renewables, LLC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OR</t>
        </is>
      </c>
      <c r="H40" t="inlineStr">
        <is>
          <t>Behind the Meter</t>
        </is>
      </c>
      <c r="I40" t="inlineStr">
        <is>
          <t>PACW</t>
        </is>
      </c>
      <c r="J40" t="n">
        <v>0</v>
      </c>
      <c r="K40" t="n">
        <v>0</v>
      </c>
      <c r="L40" t="n">
        <v>0</v>
      </c>
      <c r="M40" t="n">
        <v>28.9</v>
      </c>
      <c r="N40" t="n">
        <v>436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28.9</v>
      </c>
      <c r="W40" t="n">
        <v>436</v>
      </c>
      <c r="X40" t="n">
        <v>1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59647</v>
      </c>
      <c r="C41" t="inlineStr">
        <is>
          <t>Sunrun Inc.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OR</t>
        </is>
      </c>
      <c r="H41" t="inlineStr">
        <is>
          <t>Behind the Meter</t>
        </is>
      </c>
      <c r="I41" t="inlineStr">
        <is>
          <t>PGE</t>
        </is>
      </c>
      <c r="J41" t="n">
        <v>46.7</v>
      </c>
      <c r="K41" t="n">
        <v>397</v>
      </c>
      <c r="L41" t="n">
        <v>82</v>
      </c>
      <c r="M41" t="inlineStr">
        <is>
          <t>.</t>
        </is>
      </c>
      <c r="N41" t="inlineStr">
        <is>
          <t>.</t>
        </is>
      </c>
      <c r="O41" t="inlineStr">
        <is>
          <t>.</t>
        </is>
      </c>
      <c r="P41" t="inlineStr">
        <is>
          <t>.</t>
        </is>
      </c>
      <c r="Q41" t="inlineStr">
        <is>
          <t>.</t>
        </is>
      </c>
      <c r="R41" t="inlineStr">
        <is>
          <t>.</t>
        </is>
      </c>
      <c r="S41" t="inlineStr">
        <is>
          <t>.</t>
        </is>
      </c>
      <c r="T41" t="inlineStr">
        <is>
          <t>.</t>
        </is>
      </c>
      <c r="U41" t="inlineStr">
        <is>
          <t>.</t>
        </is>
      </c>
      <c r="V41" t="n">
        <v>46.7</v>
      </c>
      <c r="W41" t="n">
        <v>397</v>
      </c>
      <c r="X41" t="n">
        <v>82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60981</v>
      </c>
      <c r="C42" t="inlineStr">
        <is>
          <t>TerraForm US Energy Services, LLC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OR</t>
        </is>
      </c>
      <c r="H42" t="inlineStr">
        <is>
          <t>Behind the Meter</t>
        </is>
      </c>
      <c r="I42" t="inlineStr">
        <is>
          <t>PACW</t>
        </is>
      </c>
      <c r="J42" t="n">
        <v>0</v>
      </c>
      <c r="K42" t="n">
        <v>0</v>
      </c>
      <c r="L42" t="n">
        <v>0</v>
      </c>
      <c r="M42" t="n">
        <v>87</v>
      </c>
      <c r="N42" t="n">
        <v>1072</v>
      </c>
      <c r="O42" t="n">
        <v>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87</v>
      </c>
      <c r="W42" t="n">
        <v>1072</v>
      </c>
      <c r="X42" t="n">
        <v>3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65242</v>
      </c>
      <c r="C43" t="inlineStr">
        <is>
          <t>Scale Sustainable I, LLC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OR</t>
        </is>
      </c>
      <c r="H43" t="inlineStr">
        <is>
          <t>Behind the Meter</t>
        </is>
      </c>
      <c r="I43" t="inlineStr">
        <is>
          <t>PACW</t>
        </is>
      </c>
      <c r="J43" t="inlineStr">
        <is>
          <t>.</t>
        </is>
      </c>
      <c r="K43" t="inlineStr">
        <is>
          <t>.</t>
        </is>
      </c>
      <c r="L43" t="inlineStr">
        <is>
          <t>.</t>
        </is>
      </c>
      <c r="M43" t="n">
        <v>266</v>
      </c>
      <c r="N43" t="n">
        <v>670</v>
      </c>
      <c r="O43" t="n">
        <v>3</v>
      </c>
      <c r="P43" t="inlineStr">
        <is>
          <t>.</t>
        </is>
      </c>
      <c r="Q43" t="inlineStr">
        <is>
          <t>.</t>
        </is>
      </c>
      <c r="R43" t="inlineStr">
        <is>
          <t>.</t>
        </is>
      </c>
      <c r="S43" t="inlineStr">
        <is>
          <t>.</t>
        </is>
      </c>
      <c r="T43" t="inlineStr">
        <is>
          <t>.</t>
        </is>
      </c>
      <c r="U43" t="inlineStr">
        <is>
          <t>.</t>
        </is>
      </c>
      <c r="V43" t="n">
        <v>266</v>
      </c>
      <c r="W43" t="n">
        <v>670</v>
      </c>
      <c r="X43" t="n">
        <v>3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66399</v>
      </c>
      <c r="C44" t="inlineStr">
        <is>
          <t>Brookfield Renewable Energy Marketing US LLC</t>
        </is>
      </c>
      <c r="D44" t="inlineStr">
        <is>
          <t>B</t>
        </is>
      </c>
      <c r="E44" t="inlineStr">
        <is>
          <t>Energy</t>
        </is>
      </c>
      <c r="F44" t="inlineStr">
        <is>
          <t>O</t>
        </is>
      </c>
      <c r="G44" t="inlineStr">
        <is>
          <t>OR</t>
        </is>
      </c>
      <c r="H44" t="inlineStr">
        <is>
          <t>Retail Power Marketer</t>
        </is>
      </c>
      <c r="I44" t="inlineStr">
        <is>
          <t>PGE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3645.5</v>
      </c>
      <c r="Q44" t="n">
        <v>61239</v>
      </c>
      <c r="R44" t="n">
        <v>1</v>
      </c>
      <c r="S44" t="n">
        <v>0</v>
      </c>
      <c r="T44" t="n">
        <v>0</v>
      </c>
      <c r="U44" t="n">
        <v>0</v>
      </c>
      <c r="V44" t="n">
        <v>3645.5</v>
      </c>
      <c r="W44" t="n">
        <v>61239</v>
      </c>
      <c r="X44" t="n">
        <v>1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99999</v>
      </c>
      <c r="C45" t="inlineStr">
        <is>
          <t>Adjustment 2024</t>
        </is>
      </c>
      <c r="D45" t="inlineStr">
        <is>
          <t>A</t>
        </is>
      </c>
      <c r="E45" t="inlineStr">
        <is>
          <t>Bundled</t>
        </is>
      </c>
      <c r="F45" t="inlineStr">
        <is>
          <t>I</t>
        </is>
      </c>
      <c r="G45" t="inlineStr">
        <is>
          <t>OR</t>
        </is>
      </c>
      <c r="H45" t="inlineStr"/>
      <c r="I45" t="inlineStr">
        <is>
          <t>BPAT</t>
        </is>
      </c>
      <c r="J45" t="n">
        <v>79930.7</v>
      </c>
      <c r="K45" t="n">
        <v>636498</v>
      </c>
      <c r="L45" t="n">
        <v>48809</v>
      </c>
      <c r="M45" t="n">
        <v>29675.8</v>
      </c>
      <c r="N45" t="n">
        <v>302805</v>
      </c>
      <c r="O45" t="n">
        <v>6302</v>
      </c>
      <c r="P45" t="n">
        <v>27741</v>
      </c>
      <c r="Q45" t="n">
        <v>382196</v>
      </c>
      <c r="R45" t="n">
        <v>2706</v>
      </c>
      <c r="S45" t="n">
        <v>0</v>
      </c>
      <c r="T45" t="n">
        <v>0</v>
      </c>
      <c r="U45" t="n">
        <v>0</v>
      </c>
      <c r="V45" t="n">
        <v>137347.5</v>
      </c>
      <c r="W45" t="n">
        <v>1321499</v>
      </c>
      <c r="X45" t="n">
        <v>57817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99999</v>
      </c>
      <c r="C46" t="inlineStr">
        <is>
          <t>Adjustment 2024</t>
        </is>
      </c>
      <c r="D46" t="inlineStr">
        <is>
          <t>A</t>
        </is>
      </c>
      <c r="E46" t="inlineStr">
        <is>
          <t>Bundled</t>
        </is>
      </c>
      <c r="F46" t="inlineStr">
        <is>
          <t>I</t>
        </is>
      </c>
      <c r="G46" t="inlineStr">
        <is>
          <t>OR</t>
        </is>
      </c>
      <c r="H46" t="inlineStr"/>
      <c r="I46" t="inlineStr">
        <is>
          <t>PACW</t>
        </is>
      </c>
      <c r="J46" t="n">
        <v>8919.4</v>
      </c>
      <c r="K46" t="n">
        <v>80210</v>
      </c>
      <c r="L46" t="n">
        <v>10111</v>
      </c>
      <c r="M46" t="n">
        <v>6176.9</v>
      </c>
      <c r="N46" t="n">
        <v>58691</v>
      </c>
      <c r="O46" t="n">
        <v>1418</v>
      </c>
      <c r="P46" t="n">
        <v>2455.7</v>
      </c>
      <c r="Q46" t="n">
        <v>29234</v>
      </c>
      <c r="R46" t="n">
        <v>169</v>
      </c>
      <c r="S46" t="n">
        <v>0</v>
      </c>
      <c r="T46" t="n">
        <v>0</v>
      </c>
      <c r="U46" t="n">
        <v>0</v>
      </c>
      <c r="V46" t="n">
        <v>17552</v>
      </c>
      <c r="W46" t="n">
        <v>168135</v>
      </c>
      <c r="X46" t="n">
        <v>11698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99999</v>
      </c>
      <c r="C47" t="inlineStr">
        <is>
          <t>Adjustment 2024</t>
        </is>
      </c>
      <c r="D47" t="inlineStr">
        <is>
          <t>A</t>
        </is>
      </c>
      <c r="E47" t="inlineStr">
        <is>
          <t>Bundled</t>
        </is>
      </c>
      <c r="F47" t="inlineStr">
        <is>
          <t>I</t>
        </is>
      </c>
      <c r="G47" t="inlineStr">
        <is>
          <t>OR</t>
        </is>
      </c>
      <c r="H47" t="inlineStr"/>
      <c r="I47" t="inlineStr">
        <is>
          <t>PGE</t>
        </is>
      </c>
      <c r="J47" t="n">
        <v>7392.9</v>
      </c>
      <c r="K47" t="n">
        <v>76378</v>
      </c>
      <c r="L47" t="n">
        <v>3733</v>
      </c>
      <c r="M47" t="n">
        <v>5399.2</v>
      </c>
      <c r="N47" t="n">
        <v>84157</v>
      </c>
      <c r="O47" t="n">
        <v>776</v>
      </c>
      <c r="P47" t="n">
        <v>2347.9</v>
      </c>
      <c r="Q47" t="n">
        <v>33747</v>
      </c>
      <c r="R47" t="n">
        <v>13</v>
      </c>
      <c r="S47" t="n">
        <v>0</v>
      </c>
      <c r="T47" t="n">
        <v>0</v>
      </c>
      <c r="U47" t="n">
        <v>0</v>
      </c>
      <c r="V47" t="n">
        <v>15140</v>
      </c>
      <c r="W47" t="n">
        <v>194282</v>
      </c>
      <c r="X47" t="n">
        <v>4522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99999</v>
      </c>
      <c r="C48" t="inlineStr">
        <is>
          <t>Adjustment 2024</t>
        </is>
      </c>
      <c r="D48" t="inlineStr">
        <is>
          <t>B</t>
        </is>
      </c>
      <c r="E48" t="inlineStr">
        <is>
          <t>Energy</t>
        </is>
      </c>
      <c r="F48" t="inlineStr">
        <is>
          <t>I</t>
        </is>
      </c>
      <c r="G48" t="inlineStr">
        <is>
          <t>OR</t>
        </is>
      </c>
      <c r="H48" t="inlineStr"/>
      <c r="I48" t="inlineStr">
        <is>
          <t>PACW</t>
        </is>
      </c>
      <c r="J48" t="n">
        <v>0</v>
      </c>
      <c r="K48" t="n">
        <v>0</v>
      </c>
      <c r="L48" t="n">
        <v>0</v>
      </c>
      <c r="M48" t="n">
        <v>-9061.200000000001</v>
      </c>
      <c r="N48" t="n">
        <v>-136568</v>
      </c>
      <c r="O48" t="n">
        <v>33</v>
      </c>
      <c r="P48" t="n">
        <v>26171.5</v>
      </c>
      <c r="Q48" t="n">
        <v>403362</v>
      </c>
      <c r="R48" t="n">
        <v>5</v>
      </c>
      <c r="S48" t="n">
        <v>0</v>
      </c>
      <c r="T48" t="n">
        <v>0</v>
      </c>
      <c r="U48" t="n">
        <v>0</v>
      </c>
      <c r="V48" t="n">
        <v>17110.3</v>
      </c>
      <c r="W48" t="n">
        <v>266794</v>
      </c>
      <c r="X48" t="n">
        <v>38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99999</v>
      </c>
      <c r="C49" t="inlineStr">
        <is>
          <t>Adjustment 2024</t>
        </is>
      </c>
      <c r="D49" t="inlineStr">
        <is>
          <t>B</t>
        </is>
      </c>
      <c r="E49" t="inlineStr">
        <is>
          <t>Energy</t>
        </is>
      </c>
      <c r="F49" t="inlineStr">
        <is>
          <t>I</t>
        </is>
      </c>
      <c r="G49" t="inlineStr">
        <is>
          <t>OR</t>
        </is>
      </c>
      <c r="H49" t="inlineStr"/>
      <c r="I49" t="inlineStr">
        <is>
          <t>PGE</t>
        </is>
      </c>
      <c r="J49" t="n">
        <v>0</v>
      </c>
      <c r="K49" t="n">
        <v>0</v>
      </c>
      <c r="L49" t="n">
        <v>0</v>
      </c>
      <c r="M49" t="n">
        <v>-100676.3</v>
      </c>
      <c r="N49" t="n">
        <v>-1264923</v>
      </c>
      <c r="O49" t="n">
        <v>321</v>
      </c>
      <c r="P49" t="n">
        <v>107590</v>
      </c>
      <c r="Q49" t="n">
        <v>1349986</v>
      </c>
      <c r="R49" t="n">
        <v>44</v>
      </c>
      <c r="S49" t="n">
        <v>0</v>
      </c>
      <c r="T49" t="n">
        <v>0</v>
      </c>
      <c r="U49" t="n">
        <v>0</v>
      </c>
      <c r="V49" t="n">
        <v>6913.8</v>
      </c>
      <c r="W49" t="n">
        <v>85063</v>
      </c>
      <c r="X49" t="n">
        <v>365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OR</t>
        </is>
      </c>
      <c r="B2">
        <f>SUMIFS('EIA-861 Sales 2024'!$Y$4:$Y$49,'EIA-861 Sales 2024'!$Z$4:$Z$49,"cost_service")</f>
        <v/>
      </c>
      <c r="C2">
        <f>SUMIFS('EIA-861 Sales 2024'!$Y$4:$Y$49,'EIA-861 Sales 2024'!$Z$4:$Z$49,"procurement")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2026-06-02T20:15:31Z</dcterms:created>
  <dcterms:modified xmlns:dcterms="http://purl.org/dc/terms/" xmlns:xsi="http://www.w3.org/2001/XMLSchema-instance" xsi:type="dcterms:W3CDTF">2026-06-02T20:15:31Z</dcterms:modified>
</cp:coreProperties>
</file>