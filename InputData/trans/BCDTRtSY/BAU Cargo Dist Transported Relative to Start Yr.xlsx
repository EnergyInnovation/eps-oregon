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OR\trans\BCDTRtSY\"/>
    </mc:Choice>
  </mc:AlternateContent>
  <xr:revisionPtr revIDLastSave="0" documentId="8_{33721944-D0A5-4E1B-B9F0-9AFA48D5308D}"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<sst xmlns="http://schemas.openxmlformats.org/spreadsheetml/2006/main" count="6428" uniqueCount="3038">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</sst>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2922</v>
      </c>
      <c r="C1" s="77">
        <v>46248</v>
      </c>
      <c r="H1" t="s">
        <v>2981</v>
      </c>
      <c r="I1" t="s">
        <v>2982</v>
      </c>
    </row>
    <row r="2" spans="1:9">
      <c r="B2" t="str">
        <f>VLOOKUP(B1,H2:I52,2)</f>
        <v>OR</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Oregon</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1.01618135594623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1.0338737628093355</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1.0484773402218395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1.0626790827777415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1.076117067427937</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1.0831615458312185</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1.090384026675026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1.0961299677945699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1.1025090370517567</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1.1079799846162635</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1.1141929456038993</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1.1208707492818089</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1.1276106105841834</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1.1336976460088461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1.1400009626003458</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1.145378914567907</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1.150618879195288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1.1554823723795318</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1.1605908484396052</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1.1654501152747196</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1.1700043085737981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1.1736682899382207</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1.1774600104931014</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1.1809758639349255</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1.1849253645611162</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1.0281081543494426</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1.0505937375988053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1.0696821768873312</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1.0876108853681836</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1.1041408603873091</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1.1130556560665859</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1.1215458699200265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1.1305652049102886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1.139107556961136</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1.1480127693143263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1.1561014111703789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1.1643436259982174</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1.17206049945825</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1.1797639419818415</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1.187419726596662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1.1942521581179426</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1.2010417921537351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1.2074736382790574</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1.2137790569973057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1.2199647857133016</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1.2257261697831694</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1.2313616487955954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1.2365723959076191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1.2415819305622822</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1.2465058554993136</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1.0416600404302878</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1.0710435066873885</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1.0896294238444906</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1.1133219890132962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1.1415423977879933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1.1628226514894373</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1.1888525036406152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1.2170547614492353</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1.2479464948706975</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1.2817677213102201</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1.3083508705303752</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1.3351761444743895</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1.3618942267420096</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1.3876952031066545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1.414136606661424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1.4392241960328125</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1.4656544121861677</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1.4937078905179193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1.5218388940187348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1.5502843081145978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1.5777641626215202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1.6031992394541845</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1.6289796396545164</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1.6537028224016039</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1.6791160590160839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1.0743441989447584</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1.1332004173699772</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1.181066781976678</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1.224572532314397</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1.2637657852240094</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1.2919425588851976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1.3179764376252241</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1.3450809166032209</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1.3669667405373291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1.3889352185966957</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1.4070291362616953</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1.4261429219565696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1.4439427954186663</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1.4588869400123554</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1.4742753140134521</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1.4880695168852514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1.5019466438991447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1.5141629255373883</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1.5273206419604217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1.5412550981425528</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1.553422237606338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1.5664397976867146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1.5769049608862613</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1.5869273611653236</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1.5966243087862277</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1.0119597436780425</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1.0166667598925323</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1.0150660702819971</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1.0157147395074222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1.0185289774935464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1.0152312394793388</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1.0143193522206098</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1.0146155861077142</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1.0161825933709221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1.0190965274799313</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1.0188015222289606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1.0184963235496596</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1.017963933722108</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1.0173039737268208</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1.0166934637296616</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1.0152228093472555</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1.0141667397228682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1.0133887978292184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1.0125677703848988</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1.0116676009480812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1.0102037257094179</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1.0079694861039101</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1.0055254943482308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1.0026074344462765</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0.99993975915581434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1.0159433636010136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1.034176454112312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1.049479159963689</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1.0646019849937363</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1.078674439410884</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1.0870461087636871</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1.095488176718449</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1.1023176361615414</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1.1095318023646257</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1.1157797095006987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1.1228928387663328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1.1304990901854732</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1.138084380163449</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1.1448915093371572</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1.1519539297013381</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1.1584087787750101</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1.1645773461385995</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1.1704937608508179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1.1767889102465141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1.1829433615805258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1.1885829738634011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1.1933976532651276</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1.1981487505340405</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1.2027171266161047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1.2077353308059031</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1.0060430699162364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1.0175107016856291</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1.0285607555507743</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1.0407843605071028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1.0580155059487153</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1.0681226408234052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1.0801852000680712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1.0909300877098591</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1.1038042006262252</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1.1175185393651736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1.1316862419159734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1.1473228614179103</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1.1644169761687249</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1.1820333813308954</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1.2003425545401198</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1.2176829459247005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1.234458825435272</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1.2484591720375178</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1.2622418233778934</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1.2776593362038515</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1.2937135638881221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1.3106619194846583</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1.3262493991440951</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1.3428426072724171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1.3586604569088991</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1.0208336064589434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1.0461389208397169</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1.0707856702119838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1.092943884248659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1.1177579655218413</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1.1320042018924807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1.1473014873915051</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1.1603478044178719</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1.1748107366091365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1.1892070299755841</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1.2028103143758599</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1.2157200587219985</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1.2275801378010067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1.2388611902859654</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1.2503832572707194</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1.2616701696704262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1.2724139123583369</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1.2820565851380974</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1.2920918925984024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1.3043005729158774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1.3168098304053026</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1.3292717313357016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1.33933747379265</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1.3493510963912303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1.3587416328763979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1.0370639257703558</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1.0666758259443281</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1.0899420353176121</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1.1172367707589261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1.147916584775819</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1.1722223128528921</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1.2000016487748224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1.2295477951645173</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1.2612126779156509</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1.2951485661864961</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1.3244712604347155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1.354207285271287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1.3841131839259588</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1.4136226367478386</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1.4438203143795385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1.4733009503254286</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1.5039319569733789</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1.5359169362920995</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1.5681966263128364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1.6009334938289292</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1.6332443866582498</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1.6643682843874716</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1.6959824226713183</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1.727107958697389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1.7589944316726767</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0.98701067057527558</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1.0288029878217073</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1.0174002318335396</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1.0189213263507546</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1.0352548058811311</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1.0125371711267266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1.0206191685939356</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1.0288765428453652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1.0297636594000628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1.0369308747104229</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1.0431845078561959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1.0509287829504568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1.0551366069448884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1.0610369844534664</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1.0658527136800477</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1.0686377224392909</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1.0690677354565894</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1.0701679199953489</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1.0739843686713055</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1.0771277035490481</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1.0830752405784088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1.0931625825589135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1.1003361111163594</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1.1008927043236789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1.1021744373102229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1.0020302257733342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1.0313695766685373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1.0631010771183234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1.0916747438156305</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1.1214925389476946</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1.1439497994078154</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1.1687027639504355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1.1939098363535603</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1.220029435899082</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1.2473804590259134</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1.2705596533278656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1.290236276485234</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1.3099941079101378</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1.3285506507584934</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1.3472766441556283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1.3656623058366224</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1.3853144118597682</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1.404595108707372</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1.4238021986000868</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1.4446158593779179</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1.4657077360727777</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1.487119254653557</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1.5077625378526924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1.5281529698305321</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1.550282709805664</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1.01618135594623</v>
      </c>
      <c r="E2">
        <f>'BCDTRtSY-state-adjusted'!E5</f>
        <v>1.0338737628093355</v>
      </c>
      <c r="F2">
        <f>'BCDTRtSY-state-adjusted'!F5</f>
        <v>1.0484773402218395</v>
      </c>
      <c r="G2">
        <f>'BCDTRtSY-state-adjusted'!G5</f>
        <v>1.0626790827777415</v>
      </c>
      <c r="H2">
        <f>'BCDTRtSY-state-adjusted'!H5</f>
        <v>1.076117067427937</v>
      </c>
      <c r="I2">
        <f>'BCDTRtSY-state-adjusted'!I5</f>
        <v>1.0831615458312185</v>
      </c>
      <c r="J2">
        <f>'BCDTRtSY-state-adjusted'!J5</f>
        <v>1.090384026675026</v>
      </c>
      <c r="K2">
        <f>'BCDTRtSY-state-adjusted'!K5</f>
        <v>1.0961299677945699</v>
      </c>
      <c r="L2">
        <f>'BCDTRtSY-state-adjusted'!L5</f>
        <v>1.1025090370517567</v>
      </c>
      <c r="M2">
        <f>'BCDTRtSY-state-adjusted'!M5</f>
        <v>1.1079799846162635</v>
      </c>
      <c r="N2">
        <f>'BCDTRtSY-state-adjusted'!N5</f>
        <v>1.1141929456038993</v>
      </c>
      <c r="O2">
        <f>'BCDTRtSY-state-adjusted'!O5</f>
        <v>1.1208707492818089</v>
      </c>
      <c r="P2">
        <f>'BCDTRtSY-state-adjusted'!P5</f>
        <v>1.1276106105841834</v>
      </c>
      <c r="Q2">
        <f>'BCDTRtSY-state-adjusted'!Q5</f>
        <v>1.1336976460088461</v>
      </c>
      <c r="R2">
        <f>'BCDTRtSY-state-adjusted'!R5</f>
        <v>1.1400009626003458</v>
      </c>
      <c r="S2">
        <f>'BCDTRtSY-state-adjusted'!S5</f>
        <v>1.145378914567907</v>
      </c>
      <c r="T2">
        <f>'BCDTRtSY-state-adjusted'!T5</f>
        <v>1.150618879195288</v>
      </c>
      <c r="U2">
        <f>'BCDTRtSY-state-adjusted'!U5</f>
        <v>1.1554823723795318</v>
      </c>
      <c r="V2">
        <f>'BCDTRtSY-state-adjusted'!V5</f>
        <v>1.1605908484396052</v>
      </c>
      <c r="W2">
        <f>'BCDTRtSY-state-adjusted'!W5</f>
        <v>1.1654501152747196</v>
      </c>
      <c r="X2">
        <f>'BCDTRtSY-state-adjusted'!X5</f>
        <v>1.1700043085737981</v>
      </c>
      <c r="Y2">
        <f>'BCDTRtSY-state-adjusted'!Y5</f>
        <v>1.1736682899382207</v>
      </c>
      <c r="Z2">
        <f>'BCDTRtSY-state-adjusted'!Z5</f>
        <v>1.1774600104931014</v>
      </c>
      <c r="AA2">
        <f>'BCDTRtSY-state-adjusted'!AA5</f>
        <v>1.1809758639349255</v>
      </c>
      <c r="AB2">
        <f>'BCDTRtSY-state-adjusted'!AB5</f>
        <v>1.1849253645611162</v>
      </c>
    </row>
    <row r="3" spans="1:28">
      <c r="A3" t="s">
        <v>118</v>
      </c>
      <c r="B3">
        <f>'BCDTRtSY-state-adjusted'!B6</f>
        <v>1</v>
      </c>
      <c r="C3">
        <f>'BCDTRtSY-state-adjusted'!C6</f>
        <v>1</v>
      </c>
      <c r="D3">
        <f>'BCDTRtSY-state-adjusted'!D6</f>
        <v>1.0281081543494426</v>
      </c>
      <c r="E3">
        <f>'BCDTRtSY-state-adjusted'!E6</f>
        <v>1.0505937375988053</v>
      </c>
      <c r="F3">
        <f>'BCDTRtSY-state-adjusted'!F6</f>
        <v>1.0696821768873312</v>
      </c>
      <c r="G3">
        <f>'BCDTRtSY-state-adjusted'!G6</f>
        <v>1.0876108853681836</v>
      </c>
      <c r="H3">
        <f>'BCDTRtSY-state-adjusted'!H6</f>
        <v>1.1041408603873091</v>
      </c>
      <c r="I3">
        <f>'BCDTRtSY-state-adjusted'!I6</f>
        <v>1.1130556560665859</v>
      </c>
      <c r="J3">
        <f>'BCDTRtSY-state-adjusted'!J6</f>
        <v>1.1215458699200265</v>
      </c>
      <c r="K3">
        <f>'BCDTRtSY-state-adjusted'!K6</f>
        <v>1.1305652049102886</v>
      </c>
      <c r="L3">
        <f>'BCDTRtSY-state-adjusted'!L6</f>
        <v>1.139107556961136</v>
      </c>
      <c r="M3">
        <f>'BCDTRtSY-state-adjusted'!M6</f>
        <v>1.1480127693143263</v>
      </c>
      <c r="N3">
        <f>'BCDTRtSY-state-adjusted'!N6</f>
        <v>1.1561014111703789</v>
      </c>
      <c r="O3">
        <f>'BCDTRtSY-state-adjusted'!O6</f>
        <v>1.1643436259982174</v>
      </c>
      <c r="P3">
        <f>'BCDTRtSY-state-adjusted'!P6</f>
        <v>1.17206049945825</v>
      </c>
      <c r="Q3">
        <f>'BCDTRtSY-state-adjusted'!Q6</f>
        <v>1.1797639419818415</v>
      </c>
      <c r="R3">
        <f>'BCDTRtSY-state-adjusted'!R6</f>
        <v>1.187419726596662</v>
      </c>
      <c r="S3">
        <f>'BCDTRtSY-state-adjusted'!S6</f>
        <v>1.1942521581179426</v>
      </c>
      <c r="T3">
        <f>'BCDTRtSY-state-adjusted'!T6</f>
        <v>1.2010417921537351</v>
      </c>
      <c r="U3">
        <f>'BCDTRtSY-state-adjusted'!U6</f>
        <v>1.2074736382790574</v>
      </c>
      <c r="V3">
        <f>'BCDTRtSY-state-adjusted'!V6</f>
        <v>1.2137790569973057</v>
      </c>
      <c r="W3">
        <f>'BCDTRtSY-state-adjusted'!W6</f>
        <v>1.2199647857133016</v>
      </c>
      <c r="X3">
        <f>'BCDTRtSY-state-adjusted'!X6</f>
        <v>1.2257261697831694</v>
      </c>
      <c r="Y3">
        <f>'BCDTRtSY-state-adjusted'!Y6</f>
        <v>1.2313616487955954</v>
      </c>
      <c r="Z3">
        <f>'BCDTRtSY-state-adjusted'!Z6</f>
        <v>1.2365723959076191</v>
      </c>
      <c r="AA3">
        <f>'BCDTRtSY-state-adjusted'!AA6</f>
        <v>1.2415819305622822</v>
      </c>
      <c r="AB3">
        <f>'BCDTRtSY-state-adjusted'!AB6</f>
        <v>1.2465058554993136</v>
      </c>
    </row>
    <row r="4" spans="1:28">
      <c r="A4" t="s">
        <v>116</v>
      </c>
      <c r="B4">
        <f>'BCDTRtSY-state-adjusted'!B7</f>
        <v>1</v>
      </c>
      <c r="C4">
        <f>'BCDTRtSY-state-adjusted'!C7</f>
        <v>1</v>
      </c>
      <c r="D4">
        <f>'BCDTRtSY-state-adjusted'!D7</f>
        <v>1.0416600404302878</v>
      </c>
      <c r="E4">
        <f>'BCDTRtSY-state-adjusted'!E7</f>
        <v>1.0710435066873885</v>
      </c>
      <c r="F4">
        <f>'BCDTRtSY-state-adjusted'!F7</f>
        <v>1.0896294238444906</v>
      </c>
      <c r="G4">
        <f>'BCDTRtSY-state-adjusted'!G7</f>
        <v>1.1133219890132962</v>
      </c>
      <c r="H4">
        <f>'BCDTRtSY-state-adjusted'!H7</f>
        <v>1.1415423977879933</v>
      </c>
      <c r="I4">
        <f>'BCDTRtSY-state-adjusted'!I7</f>
        <v>1.1628226514894373</v>
      </c>
      <c r="J4">
        <f>'BCDTRtSY-state-adjusted'!J7</f>
        <v>1.1888525036406152</v>
      </c>
      <c r="K4">
        <f>'BCDTRtSY-state-adjusted'!K7</f>
        <v>1.2170547614492353</v>
      </c>
      <c r="L4">
        <f>'BCDTRtSY-state-adjusted'!L7</f>
        <v>1.2479464948706975</v>
      </c>
      <c r="M4">
        <f>'BCDTRtSY-state-adjusted'!M7</f>
        <v>1.2817677213102201</v>
      </c>
      <c r="N4">
        <f>'BCDTRtSY-state-adjusted'!N7</f>
        <v>1.3083508705303752</v>
      </c>
      <c r="O4">
        <f>'BCDTRtSY-state-adjusted'!O7</f>
        <v>1.3351761444743895</v>
      </c>
      <c r="P4">
        <f>'BCDTRtSY-state-adjusted'!P7</f>
        <v>1.3618942267420096</v>
      </c>
      <c r="Q4">
        <f>'BCDTRtSY-state-adjusted'!Q7</f>
        <v>1.3876952031066545</v>
      </c>
      <c r="R4">
        <f>'BCDTRtSY-state-adjusted'!R7</f>
        <v>1.414136606661424</v>
      </c>
      <c r="S4">
        <f>'BCDTRtSY-state-adjusted'!S7</f>
        <v>1.4392241960328125</v>
      </c>
      <c r="T4">
        <f>'BCDTRtSY-state-adjusted'!T7</f>
        <v>1.4656544121861677</v>
      </c>
      <c r="U4">
        <f>'BCDTRtSY-state-adjusted'!U7</f>
        <v>1.4937078905179193</v>
      </c>
      <c r="V4">
        <f>'BCDTRtSY-state-adjusted'!V7</f>
        <v>1.5218388940187348</v>
      </c>
      <c r="W4">
        <f>'BCDTRtSY-state-adjusted'!W7</f>
        <v>1.5502843081145978</v>
      </c>
      <c r="X4">
        <f>'BCDTRtSY-state-adjusted'!X7</f>
        <v>1.5777641626215202</v>
      </c>
      <c r="Y4">
        <f>'BCDTRtSY-state-adjusted'!Y7</f>
        <v>1.6031992394541845</v>
      </c>
      <c r="Z4">
        <f>'BCDTRtSY-state-adjusted'!Z7</f>
        <v>1.6289796396545164</v>
      </c>
      <c r="AA4">
        <f>'BCDTRtSY-state-adjusted'!AA7</f>
        <v>1.6537028224016039</v>
      </c>
      <c r="AB4">
        <f>'BCDTRtSY-state-adjusted'!AB7</f>
        <v>1.6791160590160839</v>
      </c>
    </row>
    <row r="5" spans="1:28">
      <c r="A5" t="s">
        <v>121</v>
      </c>
      <c r="B5">
        <f>'BCDTRtSY-state-adjusted'!B8</f>
        <v>1</v>
      </c>
      <c r="C5">
        <f>'BCDTRtSY-state-adjusted'!C8</f>
        <v>1</v>
      </c>
      <c r="D5">
        <f>'BCDTRtSY-state-adjusted'!D8</f>
        <v>1.0743441989447584</v>
      </c>
      <c r="E5">
        <f>'BCDTRtSY-state-adjusted'!E8</f>
        <v>1.1332004173699772</v>
      </c>
      <c r="F5">
        <f>'BCDTRtSY-state-adjusted'!F8</f>
        <v>1.181066781976678</v>
      </c>
      <c r="G5">
        <f>'BCDTRtSY-state-adjusted'!G8</f>
        <v>1.224572532314397</v>
      </c>
      <c r="H5">
        <f>'BCDTRtSY-state-adjusted'!H8</f>
        <v>1.2637657852240094</v>
      </c>
      <c r="I5">
        <f>'BCDTRtSY-state-adjusted'!I8</f>
        <v>1.2919425588851976</v>
      </c>
      <c r="J5">
        <f>'BCDTRtSY-state-adjusted'!J8</f>
        <v>1.3179764376252241</v>
      </c>
      <c r="K5">
        <f>'BCDTRtSY-state-adjusted'!K8</f>
        <v>1.3450809166032209</v>
      </c>
      <c r="L5">
        <f>'BCDTRtSY-state-adjusted'!L8</f>
        <v>1.3669667405373291</v>
      </c>
      <c r="M5">
        <f>'BCDTRtSY-state-adjusted'!M8</f>
        <v>1.3889352185966957</v>
      </c>
      <c r="N5">
        <f>'BCDTRtSY-state-adjusted'!N8</f>
        <v>1.4070291362616953</v>
      </c>
      <c r="O5">
        <f>'BCDTRtSY-state-adjusted'!O8</f>
        <v>1.4261429219565696</v>
      </c>
      <c r="P5">
        <f>'BCDTRtSY-state-adjusted'!P8</f>
        <v>1.4439427954186663</v>
      </c>
      <c r="Q5">
        <f>'BCDTRtSY-state-adjusted'!Q8</f>
        <v>1.4588869400123554</v>
      </c>
      <c r="R5">
        <f>'BCDTRtSY-state-adjusted'!R8</f>
        <v>1.4742753140134521</v>
      </c>
      <c r="S5">
        <f>'BCDTRtSY-state-adjusted'!S8</f>
        <v>1.4880695168852514</v>
      </c>
      <c r="T5">
        <f>'BCDTRtSY-state-adjusted'!T8</f>
        <v>1.5019466438991447</v>
      </c>
      <c r="U5">
        <f>'BCDTRtSY-state-adjusted'!U8</f>
        <v>1.5141629255373883</v>
      </c>
      <c r="V5">
        <f>'BCDTRtSY-state-adjusted'!V8</f>
        <v>1.5273206419604217</v>
      </c>
      <c r="W5">
        <f>'BCDTRtSY-state-adjusted'!W8</f>
        <v>1.5412550981425528</v>
      </c>
      <c r="X5">
        <f>'BCDTRtSY-state-adjusted'!X8</f>
        <v>1.553422237606338</v>
      </c>
      <c r="Y5">
        <f>'BCDTRtSY-state-adjusted'!Y8</f>
        <v>1.5664397976867146</v>
      </c>
      <c r="Z5">
        <f>'BCDTRtSY-state-adjusted'!Z8</f>
        <v>1.5769049608862613</v>
      </c>
      <c r="AA5">
        <f>'BCDTRtSY-state-adjusted'!AA8</f>
        <v>1.5869273611653236</v>
      </c>
      <c r="AB5">
        <f>'BCDTRtSY-state-adjusted'!AB8</f>
        <v>1.5966243087862277</v>
      </c>
    </row>
    <row r="6" spans="1:28">
      <c r="A6" t="s">
        <v>122</v>
      </c>
      <c r="B6">
        <f>'BCDTRtSY-state-adjusted'!B9</f>
        <v>1</v>
      </c>
      <c r="C6">
        <f>'BCDTRtSY-state-adjusted'!C9</f>
        <v>1</v>
      </c>
      <c r="D6">
        <f>'BCDTRtSY-state-adjusted'!D9</f>
        <v>1.0119597436780425</v>
      </c>
      <c r="E6">
        <f>'BCDTRtSY-state-adjusted'!E9</f>
        <v>1.0166667598925323</v>
      </c>
      <c r="F6">
        <f>'BCDTRtSY-state-adjusted'!F9</f>
        <v>1.0150660702819971</v>
      </c>
      <c r="G6">
        <f>'BCDTRtSY-state-adjusted'!G9</f>
        <v>1.0157147395074222</v>
      </c>
      <c r="H6">
        <f>'BCDTRtSY-state-adjusted'!H9</f>
        <v>1.0185289774935464</v>
      </c>
      <c r="I6">
        <f>'BCDTRtSY-state-adjusted'!I9</f>
        <v>1.0152312394793388</v>
      </c>
      <c r="J6">
        <f>'BCDTRtSY-state-adjusted'!J9</f>
        <v>1.0143193522206098</v>
      </c>
      <c r="K6">
        <f>'BCDTRtSY-state-adjusted'!K9</f>
        <v>1.0146155861077142</v>
      </c>
      <c r="L6">
        <f>'BCDTRtSY-state-adjusted'!L9</f>
        <v>1.0161825933709221</v>
      </c>
      <c r="M6">
        <f>'BCDTRtSY-state-adjusted'!M9</f>
        <v>1.0190965274799313</v>
      </c>
      <c r="N6">
        <f>'BCDTRtSY-state-adjusted'!N9</f>
        <v>1.0188015222289606</v>
      </c>
      <c r="O6">
        <f>'BCDTRtSY-state-adjusted'!O9</f>
        <v>1.0184963235496596</v>
      </c>
      <c r="P6">
        <f>'BCDTRtSY-state-adjusted'!P9</f>
        <v>1.017963933722108</v>
      </c>
      <c r="Q6">
        <f>'BCDTRtSY-state-adjusted'!Q9</f>
        <v>1.0173039737268208</v>
      </c>
      <c r="R6">
        <f>'BCDTRtSY-state-adjusted'!R9</f>
        <v>1.0166934637296616</v>
      </c>
      <c r="S6">
        <f>'BCDTRtSY-state-adjusted'!S9</f>
        <v>1.0152228093472555</v>
      </c>
      <c r="T6">
        <f>'BCDTRtSY-state-adjusted'!T9</f>
        <v>1.0141667397228682</v>
      </c>
      <c r="U6">
        <f>'BCDTRtSY-state-adjusted'!U9</f>
        <v>1.0133887978292184</v>
      </c>
      <c r="V6">
        <f>'BCDTRtSY-state-adjusted'!V9</f>
        <v>1.0125677703848988</v>
      </c>
      <c r="W6">
        <f>'BCDTRtSY-state-adjusted'!W9</f>
        <v>1.0116676009480812</v>
      </c>
      <c r="X6">
        <f>'BCDTRtSY-state-adjusted'!X9</f>
        <v>1.0102037257094179</v>
      </c>
      <c r="Y6">
        <f>'BCDTRtSY-state-adjusted'!Y9</f>
        <v>1.0079694861039101</v>
      </c>
      <c r="Z6">
        <f>'BCDTRtSY-state-adjusted'!Z9</f>
        <v>1.0055254943482308</v>
      </c>
      <c r="AA6">
        <f>'BCDTRtSY-state-adjusted'!AA9</f>
        <v>1.0026074344462765</v>
      </c>
      <c r="AB6">
        <f>'BCDTRtSY-state-adjusted'!AB9</f>
        <v>0.99993975915581434</v>
      </c>
    </row>
    <row r="7" spans="1:28">
      <c r="A7" t="s">
        <v>123</v>
      </c>
      <c r="B7">
        <f>'BCDTRtSY-state-adjusted'!B10</f>
        <v>1</v>
      </c>
      <c r="C7">
        <f>'BCDTRtSY-state-adjusted'!C10</f>
        <v>1</v>
      </c>
      <c r="D7">
        <f>'BCDTRtSY-state-adjusted'!D10</f>
        <v>1.0159433636010136</v>
      </c>
      <c r="E7">
        <f>'BCDTRtSY-state-adjusted'!E10</f>
        <v>1.034176454112312</v>
      </c>
      <c r="F7">
        <f>'BCDTRtSY-state-adjusted'!F10</f>
        <v>1.049479159963689</v>
      </c>
      <c r="G7">
        <f>'BCDTRtSY-state-adjusted'!G10</f>
        <v>1.0646019849937363</v>
      </c>
      <c r="H7">
        <f>'BCDTRtSY-state-adjusted'!H10</f>
        <v>1.078674439410884</v>
      </c>
      <c r="I7">
        <f>'BCDTRtSY-state-adjusted'!I10</f>
        <v>1.0870461087636871</v>
      </c>
      <c r="J7">
        <f>'BCDTRtSY-state-adjusted'!J10</f>
        <v>1.095488176718449</v>
      </c>
      <c r="K7">
        <f>'BCDTRtSY-state-adjusted'!K10</f>
        <v>1.1023176361615414</v>
      </c>
      <c r="L7">
        <f>'BCDTRtSY-state-adjusted'!L10</f>
        <v>1.1095318023646257</v>
      </c>
      <c r="M7">
        <f>'BCDTRtSY-state-adjusted'!M10</f>
        <v>1.1157797095006987</v>
      </c>
      <c r="N7">
        <f>'BCDTRtSY-state-adjusted'!N10</f>
        <v>1.1228928387663328</v>
      </c>
      <c r="O7">
        <f>'BCDTRtSY-state-adjusted'!O10</f>
        <v>1.1304990901854732</v>
      </c>
      <c r="P7">
        <f>'BCDTRtSY-state-adjusted'!P10</f>
        <v>1.138084380163449</v>
      </c>
      <c r="Q7">
        <f>'BCDTRtSY-state-adjusted'!Q10</f>
        <v>1.1448915093371572</v>
      </c>
      <c r="R7">
        <f>'BCDTRtSY-state-adjusted'!R10</f>
        <v>1.1519539297013381</v>
      </c>
      <c r="S7">
        <f>'BCDTRtSY-state-adjusted'!S10</f>
        <v>1.1584087787750101</v>
      </c>
      <c r="T7">
        <f>'BCDTRtSY-state-adjusted'!T10</f>
        <v>1.1645773461385995</v>
      </c>
      <c r="U7">
        <f>'BCDTRtSY-state-adjusted'!U10</f>
        <v>1.1704937608508179</v>
      </c>
      <c r="V7">
        <f>'BCDTRtSY-state-adjusted'!V10</f>
        <v>1.1767889102465141</v>
      </c>
      <c r="W7">
        <f>'BCDTRtSY-state-adjusted'!W10</f>
        <v>1.1829433615805258</v>
      </c>
      <c r="X7">
        <f>'BCDTRtSY-state-adjusted'!X10</f>
        <v>1.1885829738634011</v>
      </c>
      <c r="Y7">
        <f>'BCDTRtSY-state-adjusted'!Y10</f>
        <v>1.1933976532651276</v>
      </c>
      <c r="Z7">
        <f>'BCDTRtSY-state-adjusted'!Z10</f>
        <v>1.1981487505340405</v>
      </c>
      <c r="AA7">
        <f>'BCDTRtSY-state-adjusted'!AA10</f>
        <v>1.2027171266161047</v>
      </c>
      <c r="AB7">
        <f>'BCDTRtSY-state-adjusted'!AB10</f>
        <v>1.2077353308059031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1.0060430699162364</v>
      </c>
      <c r="E2">
        <f>'BCDTRtSY-state-adjusted'!E13</f>
        <v>1.0175107016856291</v>
      </c>
      <c r="F2">
        <f>'BCDTRtSY-state-adjusted'!F13</f>
        <v>1.0285607555507743</v>
      </c>
      <c r="G2">
        <f>'BCDTRtSY-state-adjusted'!G13</f>
        <v>1.0407843605071028</v>
      </c>
      <c r="H2">
        <f>'BCDTRtSY-state-adjusted'!H13</f>
        <v>1.0580155059487153</v>
      </c>
      <c r="I2">
        <f>'BCDTRtSY-state-adjusted'!I13</f>
        <v>1.0681226408234052</v>
      </c>
      <c r="J2">
        <f>'BCDTRtSY-state-adjusted'!J13</f>
        <v>1.0801852000680712</v>
      </c>
      <c r="K2">
        <f>'BCDTRtSY-state-adjusted'!K13</f>
        <v>1.0909300877098591</v>
      </c>
      <c r="L2">
        <f>'BCDTRtSY-state-adjusted'!L13</f>
        <v>1.1038042006262252</v>
      </c>
      <c r="M2">
        <f>'BCDTRtSY-state-adjusted'!M13</f>
        <v>1.1175185393651736</v>
      </c>
      <c r="N2">
        <f>'BCDTRtSY-state-adjusted'!N13</f>
        <v>1.1316862419159734</v>
      </c>
      <c r="O2">
        <f>'BCDTRtSY-state-adjusted'!O13</f>
        <v>1.1473228614179103</v>
      </c>
      <c r="P2">
        <f>'BCDTRtSY-state-adjusted'!P13</f>
        <v>1.1644169761687249</v>
      </c>
      <c r="Q2">
        <f>'BCDTRtSY-state-adjusted'!Q13</f>
        <v>1.1820333813308954</v>
      </c>
      <c r="R2">
        <f>'BCDTRtSY-state-adjusted'!R13</f>
        <v>1.2003425545401198</v>
      </c>
      <c r="S2">
        <f>'BCDTRtSY-state-adjusted'!S13</f>
        <v>1.2176829459247005</v>
      </c>
      <c r="T2">
        <f>'BCDTRtSY-state-adjusted'!T13</f>
        <v>1.234458825435272</v>
      </c>
      <c r="U2">
        <f>'BCDTRtSY-state-adjusted'!U13</f>
        <v>1.2484591720375178</v>
      </c>
      <c r="V2">
        <f>'BCDTRtSY-state-adjusted'!V13</f>
        <v>1.2622418233778934</v>
      </c>
      <c r="W2">
        <f>'BCDTRtSY-state-adjusted'!W13</f>
        <v>1.2776593362038515</v>
      </c>
      <c r="X2">
        <f>'BCDTRtSY-state-adjusted'!X13</f>
        <v>1.2937135638881221</v>
      </c>
      <c r="Y2">
        <f>'BCDTRtSY-state-adjusted'!Y13</f>
        <v>1.3106619194846583</v>
      </c>
      <c r="Z2">
        <f>'BCDTRtSY-state-adjusted'!Z13</f>
        <v>1.3262493991440951</v>
      </c>
      <c r="AA2">
        <f>'BCDTRtSY-state-adjusted'!AA13</f>
        <v>1.3428426072724171</v>
      </c>
      <c r="AB2">
        <f>'BCDTRtSY-state-adjusted'!AB13</f>
        <v>1.3586604569088991</v>
      </c>
    </row>
    <row r="3" spans="1:28">
      <c r="A3" t="s">
        <v>118</v>
      </c>
      <c r="B3">
        <f>'BCDTRtSY-state-adjusted'!B14</f>
        <v>1</v>
      </c>
      <c r="C3">
        <f>'BCDTRtSY-state-adjusted'!C14</f>
        <v>1</v>
      </c>
      <c r="D3">
        <f>'BCDTRtSY-state-adjusted'!D14</f>
        <v>1.0208336064589434</v>
      </c>
      <c r="E3">
        <f>'BCDTRtSY-state-adjusted'!E14</f>
        <v>1.0461389208397169</v>
      </c>
      <c r="F3">
        <f>'BCDTRtSY-state-adjusted'!F14</f>
        <v>1.0707856702119838</v>
      </c>
      <c r="G3">
        <f>'BCDTRtSY-state-adjusted'!G14</f>
        <v>1.092943884248659</v>
      </c>
      <c r="H3">
        <f>'BCDTRtSY-state-adjusted'!H14</f>
        <v>1.1177579655218413</v>
      </c>
      <c r="I3">
        <f>'BCDTRtSY-state-adjusted'!I14</f>
        <v>1.1320042018924807</v>
      </c>
      <c r="J3">
        <f>'BCDTRtSY-state-adjusted'!J14</f>
        <v>1.1473014873915051</v>
      </c>
      <c r="K3">
        <f>'BCDTRtSY-state-adjusted'!K14</f>
        <v>1.1603478044178719</v>
      </c>
      <c r="L3">
        <f>'BCDTRtSY-state-adjusted'!L14</f>
        <v>1.1748107366091365</v>
      </c>
      <c r="M3">
        <f>'BCDTRtSY-state-adjusted'!M14</f>
        <v>1.1892070299755841</v>
      </c>
      <c r="N3">
        <f>'BCDTRtSY-state-adjusted'!N14</f>
        <v>1.2028103143758599</v>
      </c>
      <c r="O3">
        <f>'BCDTRtSY-state-adjusted'!O14</f>
        <v>1.2157200587219985</v>
      </c>
      <c r="P3">
        <f>'BCDTRtSY-state-adjusted'!P14</f>
        <v>1.2275801378010067</v>
      </c>
      <c r="Q3">
        <f>'BCDTRtSY-state-adjusted'!Q14</f>
        <v>1.2388611902859654</v>
      </c>
      <c r="R3">
        <f>'BCDTRtSY-state-adjusted'!R14</f>
        <v>1.2503832572707194</v>
      </c>
      <c r="S3">
        <f>'BCDTRtSY-state-adjusted'!S14</f>
        <v>1.2616701696704262</v>
      </c>
      <c r="T3">
        <f>'BCDTRtSY-state-adjusted'!T14</f>
        <v>1.2724139123583369</v>
      </c>
      <c r="U3">
        <f>'BCDTRtSY-state-adjusted'!U14</f>
        <v>1.2820565851380974</v>
      </c>
      <c r="V3">
        <f>'BCDTRtSY-state-adjusted'!V14</f>
        <v>1.2920918925984024</v>
      </c>
      <c r="W3">
        <f>'BCDTRtSY-state-adjusted'!W14</f>
        <v>1.3043005729158774</v>
      </c>
      <c r="X3">
        <f>'BCDTRtSY-state-adjusted'!X14</f>
        <v>1.3168098304053026</v>
      </c>
      <c r="Y3">
        <f>'BCDTRtSY-state-adjusted'!Y14</f>
        <v>1.3292717313357016</v>
      </c>
      <c r="Z3">
        <f>'BCDTRtSY-state-adjusted'!Z14</f>
        <v>1.33933747379265</v>
      </c>
      <c r="AA3">
        <f>'BCDTRtSY-state-adjusted'!AA14</f>
        <v>1.3493510963912303</v>
      </c>
      <c r="AB3">
        <f>'BCDTRtSY-state-adjusted'!AB14</f>
        <v>1.3587416328763979</v>
      </c>
    </row>
    <row r="4" spans="1:28">
      <c r="A4" t="s">
        <v>116</v>
      </c>
      <c r="B4">
        <f>'BCDTRtSY-state-adjusted'!B15</f>
        <v>1</v>
      </c>
      <c r="C4">
        <f>'BCDTRtSY-state-adjusted'!C15</f>
        <v>1</v>
      </c>
      <c r="D4">
        <f>'BCDTRtSY-state-adjusted'!D15</f>
        <v>1.0370639257703558</v>
      </c>
      <c r="E4">
        <f>'BCDTRtSY-state-adjusted'!E15</f>
        <v>1.0666758259443281</v>
      </c>
      <c r="F4">
        <f>'BCDTRtSY-state-adjusted'!F15</f>
        <v>1.0899420353176121</v>
      </c>
      <c r="G4">
        <f>'BCDTRtSY-state-adjusted'!G15</f>
        <v>1.1172367707589261</v>
      </c>
      <c r="H4">
        <f>'BCDTRtSY-state-adjusted'!H15</f>
        <v>1.147916584775819</v>
      </c>
      <c r="I4">
        <f>'BCDTRtSY-state-adjusted'!I15</f>
        <v>1.1722223128528921</v>
      </c>
      <c r="J4">
        <f>'BCDTRtSY-state-adjusted'!J15</f>
        <v>1.2000016487748224</v>
      </c>
      <c r="K4">
        <f>'BCDTRtSY-state-adjusted'!K15</f>
        <v>1.2295477951645173</v>
      </c>
      <c r="L4">
        <f>'BCDTRtSY-state-adjusted'!L15</f>
        <v>1.2612126779156509</v>
      </c>
      <c r="M4">
        <f>'BCDTRtSY-state-adjusted'!M15</f>
        <v>1.2951485661864961</v>
      </c>
      <c r="N4">
        <f>'BCDTRtSY-state-adjusted'!N15</f>
        <v>1.3244712604347155</v>
      </c>
      <c r="O4">
        <f>'BCDTRtSY-state-adjusted'!O15</f>
        <v>1.354207285271287</v>
      </c>
      <c r="P4">
        <f>'BCDTRtSY-state-adjusted'!P15</f>
        <v>1.3841131839259588</v>
      </c>
      <c r="Q4">
        <f>'BCDTRtSY-state-adjusted'!Q15</f>
        <v>1.4136226367478386</v>
      </c>
      <c r="R4">
        <f>'BCDTRtSY-state-adjusted'!R15</f>
        <v>1.4438203143795385</v>
      </c>
      <c r="S4">
        <f>'BCDTRtSY-state-adjusted'!S15</f>
        <v>1.4733009503254286</v>
      </c>
      <c r="T4">
        <f>'BCDTRtSY-state-adjusted'!T15</f>
        <v>1.5039319569733789</v>
      </c>
      <c r="U4">
        <f>'BCDTRtSY-state-adjusted'!U15</f>
        <v>1.5359169362920995</v>
      </c>
      <c r="V4">
        <f>'BCDTRtSY-state-adjusted'!V15</f>
        <v>1.5681966263128364</v>
      </c>
      <c r="W4">
        <f>'BCDTRtSY-state-adjusted'!W15</f>
        <v>1.6009334938289292</v>
      </c>
      <c r="X4">
        <f>'BCDTRtSY-state-adjusted'!X15</f>
        <v>1.6332443866582498</v>
      </c>
      <c r="Y4">
        <f>'BCDTRtSY-state-adjusted'!Y15</f>
        <v>1.6643682843874716</v>
      </c>
      <c r="Z4">
        <f>'BCDTRtSY-state-adjusted'!Z15</f>
        <v>1.6959824226713183</v>
      </c>
      <c r="AA4">
        <f>'BCDTRtSY-state-adjusted'!AA15</f>
        <v>1.727107958697389</v>
      </c>
      <c r="AB4">
        <f>'BCDTRtSY-state-adjusted'!AB15</f>
        <v>1.7589944316726767</v>
      </c>
    </row>
    <row r="5" spans="1:28">
      <c r="A5" t="s">
        <v>121</v>
      </c>
      <c r="B5">
        <f>'BCDTRtSY-state-adjusted'!B16</f>
        <v>1</v>
      </c>
      <c r="C5">
        <f>'BCDTRtSY-state-adjusted'!C16</f>
        <v>1</v>
      </c>
      <c r="D5">
        <f>'BCDTRtSY-state-adjusted'!D16</f>
        <v>0.98701067057527558</v>
      </c>
      <c r="E5">
        <f>'BCDTRtSY-state-adjusted'!E16</f>
        <v>1.0288029878217073</v>
      </c>
      <c r="F5">
        <f>'BCDTRtSY-state-adjusted'!F16</f>
        <v>1.0174002318335396</v>
      </c>
      <c r="G5">
        <f>'BCDTRtSY-state-adjusted'!G16</f>
        <v>1.0189213263507546</v>
      </c>
      <c r="H5">
        <f>'BCDTRtSY-state-adjusted'!H16</f>
        <v>1.0352548058811311</v>
      </c>
      <c r="I5">
        <f>'BCDTRtSY-state-adjusted'!I16</f>
        <v>1.0125371711267266</v>
      </c>
      <c r="J5">
        <f>'BCDTRtSY-state-adjusted'!J16</f>
        <v>1.0206191685939356</v>
      </c>
      <c r="K5">
        <f>'BCDTRtSY-state-adjusted'!K16</f>
        <v>1.0288765428453652</v>
      </c>
      <c r="L5">
        <f>'BCDTRtSY-state-adjusted'!L16</f>
        <v>1.0297636594000628</v>
      </c>
      <c r="M5">
        <f>'BCDTRtSY-state-adjusted'!M16</f>
        <v>1.0369308747104229</v>
      </c>
      <c r="N5">
        <f>'BCDTRtSY-state-adjusted'!N16</f>
        <v>1.0431845078561959</v>
      </c>
      <c r="O5">
        <f>'BCDTRtSY-state-adjusted'!O16</f>
        <v>1.0509287829504568</v>
      </c>
      <c r="P5">
        <f>'BCDTRtSY-state-adjusted'!P16</f>
        <v>1.0551366069448884</v>
      </c>
      <c r="Q5">
        <f>'BCDTRtSY-state-adjusted'!Q16</f>
        <v>1.0610369844534664</v>
      </c>
      <c r="R5">
        <f>'BCDTRtSY-state-adjusted'!R16</f>
        <v>1.0658527136800477</v>
      </c>
      <c r="S5">
        <f>'BCDTRtSY-state-adjusted'!S16</f>
        <v>1.0686377224392909</v>
      </c>
      <c r="T5">
        <f>'BCDTRtSY-state-adjusted'!T16</f>
        <v>1.0690677354565894</v>
      </c>
      <c r="U5">
        <f>'BCDTRtSY-state-adjusted'!U16</f>
        <v>1.0701679199953489</v>
      </c>
      <c r="V5">
        <f>'BCDTRtSY-state-adjusted'!V16</f>
        <v>1.0739843686713055</v>
      </c>
      <c r="W5">
        <f>'BCDTRtSY-state-adjusted'!W16</f>
        <v>1.0771277035490481</v>
      </c>
      <c r="X5">
        <f>'BCDTRtSY-state-adjusted'!X16</f>
        <v>1.0830752405784088</v>
      </c>
      <c r="Y5">
        <f>'BCDTRtSY-state-adjusted'!Y16</f>
        <v>1.0931625825589135</v>
      </c>
      <c r="Z5">
        <f>'BCDTRtSY-state-adjusted'!Z16</f>
        <v>1.1003361111163594</v>
      </c>
      <c r="AA5">
        <f>'BCDTRtSY-state-adjusted'!AA16</f>
        <v>1.1008927043236789</v>
      </c>
      <c r="AB5">
        <f>'BCDTRtSY-state-adjusted'!AB16</f>
        <v>1.1021744373102229</v>
      </c>
    </row>
    <row r="6" spans="1:28">
      <c r="A6" t="s">
        <v>122</v>
      </c>
      <c r="B6">
        <f>'BCDTRtSY-state-adjusted'!B17</f>
        <v>1</v>
      </c>
      <c r="C6">
        <f>'BCDTRtSY-state-adjusted'!C17</f>
        <v>1</v>
      </c>
      <c r="D6">
        <f>'BCDTRtSY-state-adjusted'!D17</f>
        <v>1.0020302257733342</v>
      </c>
      <c r="E6">
        <f>'BCDTRtSY-state-adjusted'!E17</f>
        <v>1.0313695766685373</v>
      </c>
      <c r="F6">
        <f>'BCDTRtSY-state-adjusted'!F17</f>
        <v>1.0631010771183234</v>
      </c>
      <c r="G6">
        <f>'BCDTRtSY-state-adjusted'!G17</f>
        <v>1.0916747438156305</v>
      </c>
      <c r="H6">
        <f>'BCDTRtSY-state-adjusted'!H17</f>
        <v>1.1214925389476946</v>
      </c>
      <c r="I6">
        <f>'BCDTRtSY-state-adjusted'!I17</f>
        <v>1.1439497994078154</v>
      </c>
      <c r="J6">
        <f>'BCDTRtSY-state-adjusted'!J17</f>
        <v>1.1687027639504355</v>
      </c>
      <c r="K6">
        <f>'BCDTRtSY-state-adjusted'!K17</f>
        <v>1.1939098363535603</v>
      </c>
      <c r="L6">
        <f>'BCDTRtSY-state-adjusted'!L17</f>
        <v>1.220029435899082</v>
      </c>
      <c r="M6">
        <f>'BCDTRtSY-state-adjusted'!M17</f>
        <v>1.2473804590259134</v>
      </c>
      <c r="N6">
        <f>'BCDTRtSY-state-adjusted'!N17</f>
        <v>1.2705596533278656</v>
      </c>
      <c r="O6">
        <f>'BCDTRtSY-state-adjusted'!O17</f>
        <v>1.290236276485234</v>
      </c>
      <c r="P6">
        <f>'BCDTRtSY-state-adjusted'!P17</f>
        <v>1.3099941079101378</v>
      </c>
      <c r="Q6">
        <f>'BCDTRtSY-state-adjusted'!Q17</f>
        <v>1.3285506507584934</v>
      </c>
      <c r="R6">
        <f>'BCDTRtSY-state-adjusted'!R17</f>
        <v>1.3472766441556283</v>
      </c>
      <c r="S6">
        <f>'BCDTRtSY-state-adjusted'!S17</f>
        <v>1.3656623058366224</v>
      </c>
      <c r="T6">
        <f>'BCDTRtSY-state-adjusted'!T17</f>
        <v>1.3853144118597682</v>
      </c>
      <c r="U6">
        <f>'BCDTRtSY-state-adjusted'!U17</f>
        <v>1.404595108707372</v>
      </c>
      <c r="V6">
        <f>'BCDTRtSY-state-adjusted'!V17</f>
        <v>1.4238021986000868</v>
      </c>
      <c r="W6">
        <f>'BCDTRtSY-state-adjusted'!W17</f>
        <v>1.4446158593779179</v>
      </c>
      <c r="X6">
        <f>'BCDTRtSY-state-adjusted'!X17</f>
        <v>1.4657077360727777</v>
      </c>
      <c r="Y6">
        <f>'BCDTRtSY-state-adjusted'!Y17</f>
        <v>1.487119254653557</v>
      </c>
      <c r="Z6">
        <f>'BCDTRtSY-state-adjusted'!Z17</f>
        <v>1.5077625378526924</v>
      </c>
      <c r="AA6">
        <f>'BCDTRtSY-state-adjusted'!AA17</f>
        <v>1.5281529698305321</v>
      </c>
      <c r="AB6">
        <f>'BCDTRtSY-state-adjusted'!AB17</f>
        <v>1.550282709805664</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2026-08-14T21:49:28Z</dcterms:modified>
</cp:coreProperties>
</file>