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R\trans\TTS\"/>
    </mc:Choice>
  </mc:AlternateContent>
  <xr:revisionPtr revIDLastSave="0" documentId="8_{211F5958-A1C9-495F-B763-8C0A5A64A31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B2" i="9" l="1"/>
  <c r="C2" i="9"/>
  <c r="C3" i="9"/>
  <c r="D2" i="9"/>
  <c r="H3" i="9"/>
  <c r="B4" i="9"/>
  <c r="G4" i="9"/>
  <c r="H4" i="9"/>
  <c r="G3" i="9"/>
  <c r="E6" i="9"/>
  <c r="B7" i="9"/>
  <c r="D5" i="9"/>
  <c r="F5" i="9"/>
  <c r="E5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<sst xmlns="http://schemas.openxmlformats.org/spreadsheetml/2006/main" count="1577" uniqueCount="338">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</sst>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100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OR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78400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3715280</v>
      </c>
      <c r="E2">
        <f>SUMIFS(SYVbT_all!$F$4:$F$291,SYVbT_all!$A$4:$A$291,About!$B$2,SYVbT_all!$B$4:$B$291,$A2)</f>
        <v>42482</v>
      </c>
      <c r="F2">
        <f>SUMIFS(SYVbT_all!$G$4:$G$291,SYVbT_all!$A$4:$A$291,About!$B$2,SYVbT_all!$B$4:$B$291,$A2)</f>
        <v>33200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5</v>
      </c>
      <c r="C3">
        <f>SUMIFS(SYVbT_all!$D$4:$D$291,SYVbT_all!$A$4:$A$291,About!$B$2,SYVbT_all!$B$4:$B$291,$A3)</f>
        <v>2162</v>
      </c>
      <c r="D3">
        <f>SUMIFS(SYVbT_all!$E$4:$E$291,SYVbT_all!$A$4:$A$291,About!$B$2,SYVbT_all!$B$4:$B$291,$A3)</f>
        <v>1702</v>
      </c>
      <c r="E3">
        <f>SUMIFS(SYVbT_all!$F$4:$F$291,SYVbT_all!$A$4:$A$291,About!$B$2,SYVbT_all!$B$4:$B$291,$A3)</f>
        <v>13519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792</v>
      </c>
      <c r="H3">
        <f>SUMIFS(SYVbT_all!$I$4:$I$291,SYVbT_all!$A$4:$A$291,About!$B$2,SYVbT_all!$B$4:$B$291,$A3)</f>
        <v>3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85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64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1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152687</v>
      </c>
      <c r="E6">
        <f>SUMIFS(SYVbT_all!$F$4:$F$291,SYVbT_all!$A$4:$A$291,About!$B$2,SYVbT_all!$B$4:$B$291,$A6)</f>
        <v>37222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143067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0.92973261140526997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0.92973261140526997</v>
      </c>
      <c r="K10" s="2">
        <f t="shared" ref="K10:AI10" si="1">IF($G10="s-curve",$E10+($F10-$E10)*K$98,TREND($E10:$F10,$E$9:$F$9,K$9))</f>
        <v>0.93060976982010224</v>
      </c>
      <c r="L10" s="2">
        <f t="shared" si="1"/>
        <v>0.93176016788609206</v>
      </c>
      <c r="M10" s="2">
        <f t="shared" si="1"/>
        <v>0.93325476880336689</v>
      </c>
      <c r="N10" s="2">
        <f t="shared" si="1"/>
        <v>0.93517296116611648</v>
      </c>
      <c r="O10" s="2">
        <f t="shared" si="1"/>
        <v>0.93759653152173339</v>
      </c>
      <c r="P10" s="2">
        <f t="shared" si="1"/>
        <v>0.9405987396229335</v>
      </c>
      <c r="Q10" s="2">
        <f t="shared" si="1"/>
        <v>0.94422805197213366</v>
      </c>
      <c r="R10" s="2">
        <f t="shared" si="1"/>
        <v>0.94848819441962384</v>
      </c>
      <c r="S10" s="2">
        <f t="shared" si="1"/>
        <v>0.95331940519775715</v>
      </c>
      <c r="T10" s="2">
        <f t="shared" si="1"/>
        <v>0.95858869581213813</v>
      </c>
      <c r="U10" s="2">
        <f t="shared" si="1"/>
        <v>0.96409688823348827</v>
      </c>
      <c r="V10" s="2">
        <f t="shared" si="1"/>
        <v>0.96960508065483852</v>
      </c>
      <c r="W10" s="2">
        <f t="shared" si="1"/>
        <v>0.9748743712692195</v>
      </c>
      <c r="X10" s="2">
        <f t="shared" si="1"/>
        <v>0.9797055820473527</v>
      </c>
      <c r="Y10" s="2">
        <f t="shared" si="1"/>
        <v>0.98396572449484287</v>
      </c>
      <c r="Z10" s="2">
        <f t="shared" si="1"/>
        <v>0.98759503684404304</v>
      </c>
      <c r="AA10" s="2">
        <f t="shared" si="1"/>
        <v>0.99059724494524315</v>
      </c>
      <c r="AB10" s="2">
        <f t="shared" si="1"/>
        <v>0.99302081530086006</v>
      </c>
      <c r="AC10" s="2">
        <f t="shared" si="1"/>
        <v>0.99493900766360976</v>
      </c>
      <c r="AD10" s="2">
        <f t="shared" si="1"/>
        <v>0.99643360858088448</v>
      </c>
      <c r="AE10" s="2">
        <f t="shared" si="1"/>
        <v>0.9975840066468743</v>
      </c>
      <c r="AF10" s="2">
        <f t="shared" si="1"/>
        <v>0.99846116506170657</v>
      </c>
      <c r="AG10" s="2">
        <f t="shared" si="1"/>
        <v>0.99912518877874745</v>
      </c>
      <c r="AH10" s="2">
        <f t="shared" si="1"/>
        <v>0.99962513341204406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5.2021527112866645E-2</v>
      </c>
      <c r="F14" s="2">
        <f>E14/E10*F10</f>
        <v>5.5953213294559254E-2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5.2021527112866645E-2</v>
      </c>
      <c r="K14" s="2">
        <f t="shared" ref="K14:AI14" si="2">IF($G14="s-curve",$E14+($F14-$E14)*K$99,TREND($E14:$F14,$E$9:$F$9,K$9))</f>
        <v>5.2044928077650487E-2</v>
      </c>
      <c r="L14" s="2">
        <f t="shared" si="2"/>
        <v>5.2079326914221312E-2</v>
      </c>
      <c r="M14" s="2">
        <f t="shared" si="2"/>
        <v>5.2129537171693864E-2</v>
      </c>
      <c r="N14" s="2">
        <f t="shared" si="2"/>
        <v>5.2202077568547708E-2</v>
      </c>
      <c r="O14" s="2">
        <f t="shared" si="2"/>
        <v>5.2305338674078362E-2</v>
      </c>
      <c r="P14" s="2">
        <f t="shared" si="2"/>
        <v>5.2449274219901143E-2</v>
      </c>
      <c r="Q14" s="2">
        <f t="shared" si="2"/>
        <v>5.2644138050923307E-2</v>
      </c>
      <c r="R14" s="2">
        <f t="shared" si="2"/>
        <v>5.2897785816753209E-2</v>
      </c>
      <c r="S14" s="2">
        <f t="shared" si="2"/>
        <v>5.3211582926835831E-2</v>
      </c>
      <c r="T14" s="2">
        <f t="shared" si="2"/>
        <v>5.357626058889934E-2</v>
      </c>
      <c r="U14" s="2">
        <f t="shared" si="2"/>
        <v>5.3970503533982847E-2</v>
      </c>
      <c r="V14" s="2">
        <f t="shared" si="2"/>
        <v>5.4364746479066355E-2</v>
      </c>
      <c r="W14" s="2">
        <f t="shared" si="2"/>
        <v>5.472942414112987E-2</v>
      </c>
      <c r="X14" s="2">
        <f t="shared" si="2"/>
        <v>5.5043221251212485E-2</v>
      </c>
      <c r="Y14" s="2">
        <f t="shared" si="2"/>
        <v>5.5296869017042387E-2</v>
      </c>
      <c r="Z14" s="2">
        <f t="shared" si="2"/>
        <v>5.5491732848064551E-2</v>
      </c>
      <c r="AA14" s="2">
        <f t="shared" si="2"/>
        <v>5.5635668393887332E-2</v>
      </c>
      <c r="AB14" s="2">
        <f t="shared" si="2"/>
        <v>5.5738929499417993E-2</v>
      </c>
      <c r="AC14" s="2">
        <f t="shared" si="2"/>
        <v>5.5811469896271837E-2</v>
      </c>
      <c r="AD14" s="2">
        <f t="shared" si="2"/>
        <v>5.5861680153744382E-2</v>
      </c>
      <c r="AE14" s="2">
        <f t="shared" si="2"/>
        <v>5.5896078990315214E-2</v>
      </c>
      <c r="AF14" s="2">
        <f t="shared" si="2"/>
        <v>5.591947995509905E-2</v>
      </c>
      <c r="AG14" s="2">
        <f t="shared" si="2"/>
        <v>5.5935323008169689E-2</v>
      </c>
      <c r="AH14" s="2">
        <f t="shared" si="2"/>
        <v>5.594601432919144E-2</v>
      </c>
      <c r="AI14" s="2">
        <f t="shared" si="2"/>
        <v>5.5953213294559254E-2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7.7580494932785466E-4</v>
      </c>
      <c r="F16">
        <f>E16</f>
        <v>7.7580494932785466E-4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7.7580494932785466E-4</v>
      </c>
      <c r="J16">
        <f>IF($G16="s-curve",$E16+($F16-$E16)*$I$2/(1+EXP($I$3*(COUNT($I$9:J$9)+$I$4))),TREND($E16:$F16,$E$9:$F$9,J$9))</f>
        <v>7.7580494932785466E-4</v>
      </c>
      <c r="K16">
        <f>IF($G16="s-curve",$E16+($F16-$E16)*$I$2/(1+EXP($I$3*(COUNT($I$9:K$9)+$I$4))),TREND($E16:$F16,$E$9:$F$9,K$9))</f>
        <v>7.7580494932785466E-4</v>
      </c>
      <c r="L16">
        <f>IF($G16="s-curve",$E16+($F16-$E16)*$I$2/(1+EXP($I$3*(COUNT($I$9:L$9)+$I$4))),TREND($E16:$F16,$E$9:$F$9,L$9))</f>
        <v>7.7580494932785466E-4</v>
      </c>
      <c r="M16">
        <f>IF($G16="s-curve",$E16+($F16-$E16)*$I$2/(1+EXP($I$3*(COUNT($I$9:M$9)+$I$4))),TREND($E16:$F16,$E$9:$F$9,M$9))</f>
        <v>7.7580494932785466E-4</v>
      </c>
      <c r="N16">
        <f>IF($G16="s-curve",$E16+($F16-$E16)*$I$2/(1+EXP($I$3*(COUNT($I$9:N$9)+$I$4))),TREND($E16:$F16,$E$9:$F$9,N$9))</f>
        <v>7.7580494932785466E-4</v>
      </c>
      <c r="O16">
        <f>IF($G16="s-curve",$E16+($F16-$E16)*$I$2/(1+EXP($I$3*(COUNT($I$9:O$9)+$I$4))),TREND($E16:$F16,$E$9:$F$9,O$9))</f>
        <v>7.7580494932785466E-4</v>
      </c>
      <c r="P16">
        <f>IF($G16="s-curve",$E16+($F16-$E16)*$I$2/(1+EXP($I$3*(COUNT($I$9:P$9)+$I$4))),TREND($E16:$F16,$E$9:$F$9,P$9))</f>
        <v>7.7580494932785466E-4</v>
      </c>
      <c r="Q16">
        <f>IF($G16="s-curve",$E16+($F16-$E16)*$I$2/(1+EXP($I$3*(COUNT($I$9:Q$9)+$I$4))),TREND($E16:$F16,$E$9:$F$9,Q$9))</f>
        <v>7.7580494932785466E-4</v>
      </c>
      <c r="R16">
        <f>IF($G16="s-curve",$E16+($F16-$E16)*$I$2/(1+EXP($I$3*(COUNT($I$9:R$9)+$I$4))),TREND($E16:$F16,$E$9:$F$9,R$9))</f>
        <v>7.7580494932785466E-4</v>
      </c>
      <c r="S16">
        <f>IF($G16="s-curve",$E16+($F16-$E16)*$I$2/(1+EXP($I$3*(COUNT($I$9:S$9)+$I$4))),TREND($E16:$F16,$E$9:$F$9,S$9))</f>
        <v>7.7580494932785466E-4</v>
      </c>
      <c r="T16">
        <f>IF($G16="s-curve",$E16+($F16-$E16)*$I$2/(1+EXP($I$3*(COUNT($I$9:T$9)+$I$4))),TREND($E16:$F16,$E$9:$F$9,T$9))</f>
        <v>7.7580494932785466E-4</v>
      </c>
      <c r="U16">
        <f>IF($G16="s-curve",$E16+($F16-$E16)*$I$2/(1+EXP($I$3*(COUNT($I$9:U$9)+$I$4))),TREND($E16:$F16,$E$9:$F$9,U$9))</f>
        <v>7.7580494932785466E-4</v>
      </c>
      <c r="V16">
        <f>IF($G16="s-curve",$E16+($F16-$E16)*$I$2/(1+EXP($I$3*(COUNT($I$9:V$9)+$I$4))),TREND($E16:$F16,$E$9:$F$9,V$9))</f>
        <v>7.7580494932785466E-4</v>
      </c>
      <c r="W16">
        <f>IF($G16="s-curve",$E16+($F16-$E16)*$I$2/(1+EXP($I$3*(COUNT($I$9:W$9)+$I$4))),TREND($E16:$F16,$E$9:$F$9,W$9))</f>
        <v>7.7580494932785466E-4</v>
      </c>
      <c r="X16">
        <f>IF($G16="s-curve",$E16+($F16-$E16)*$I$2/(1+EXP($I$3*(COUNT($I$9:X$9)+$I$4))),TREND($E16:$F16,$E$9:$F$9,X$9))</f>
        <v>7.7580494932785466E-4</v>
      </c>
      <c r="Y16">
        <f>IF($G16="s-curve",$E16+($F16-$E16)*$I$2/(1+EXP($I$3*(COUNT($I$9:Y$9)+$I$4))),TREND($E16:$F16,$E$9:$F$9,Y$9))</f>
        <v>7.7580494932785466E-4</v>
      </c>
      <c r="Z16">
        <f>IF($G16="s-curve",$E16+($F16-$E16)*$I$2/(1+EXP($I$3*(COUNT($I$9:Z$9)+$I$4))),TREND($E16:$F16,$E$9:$F$9,Z$9))</f>
        <v>7.7580494932785466E-4</v>
      </c>
      <c r="AA16">
        <f>IF($G16="s-curve",$E16+($F16-$E16)*$I$2/(1+EXP($I$3*(COUNT($I$9:AA$9)+$I$4))),TREND($E16:$F16,$E$9:$F$9,AA$9))</f>
        <v>7.7580494932785466E-4</v>
      </c>
      <c r="AB16">
        <f>IF($G16="s-curve",$E16+($F16-$E16)*$I$2/(1+EXP($I$3*(COUNT($I$9:AB$9)+$I$4))),TREND($E16:$F16,$E$9:$F$9,AB$9))</f>
        <v>7.7580494932785466E-4</v>
      </c>
      <c r="AC16">
        <f>IF($G16="s-curve",$E16+($F16-$E16)*$I$2/(1+EXP($I$3*(COUNT($I$9:AC$9)+$I$4))),TREND($E16:$F16,$E$9:$F$9,AC$9))</f>
        <v>7.7580494932785466E-4</v>
      </c>
      <c r="AD16">
        <f>IF($G16="s-curve",$E16+($F16-$E16)*$I$2/(1+EXP($I$3*(COUNT($I$9:AD$9)+$I$4))),TREND($E16:$F16,$E$9:$F$9,AD$9))</f>
        <v>7.7580494932785466E-4</v>
      </c>
      <c r="AE16">
        <f>IF($G16="s-curve",$E16+($F16-$E16)*$I$2/(1+EXP($I$3*(COUNT($I$9:AE$9)+$I$4))),TREND($E16:$F16,$E$9:$F$9,AE$9))</f>
        <v>7.7580494932785466E-4</v>
      </c>
      <c r="AF16">
        <f>IF($G16="s-curve",$E16+($F16-$E16)*$I$2/(1+EXP($I$3*(COUNT($I$9:AF$9)+$I$4))),TREND($E16:$F16,$E$9:$F$9,AF$9))</f>
        <v>7.7580494932785466E-4</v>
      </c>
      <c r="AG16">
        <f>IF($G16="s-curve",$E16+($F16-$E16)*$I$2/(1+EXP($I$3*(COUNT($I$9:AG$9)+$I$4))),TREND($E16:$F16,$E$9:$F$9,AG$9))</f>
        <v>7.7580494932785466E-4</v>
      </c>
      <c r="AH16">
        <f>IF($G16="s-curve",$E16+($F16-$E16)*$I$2/(1+EXP($I$3*(COUNT($I$9:AH$9)+$I$4))),TREND($E16:$F16,$E$9:$F$9,AH$9))</f>
        <v>7.7580494932785466E-4</v>
      </c>
      <c r="AI16">
        <f>IF($G16="s-curve",$E16+($F16-$E16)*$I$2/(1+EXP($I$3*(COUNT($I$9:AI$9)+$I$4))),TREND($E16:$F16,$E$9:$F$9,AI$9))</f>
        <v>7.7580494932785466E-4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0.98461538461538467</v>
      </c>
      <c r="F52">
        <f>E52</f>
        <v>0.98461538461538467</v>
      </c>
      <c r="G52" t="s">
        <v>327</v>
      </c>
      <c r="I52">
        <f t="shared" si="10"/>
        <v>0.98461538461538467</v>
      </c>
      <c r="J52">
        <f>IF($G52="s-curve",$E52+($F52-$E52)*$I$2/(1+EXP($I$3*(COUNT($I$9:J$9)+$I$4))),TREND($E52:$F52,$E$9:$F$9,J$9))</f>
        <v>0.98461538461538467</v>
      </c>
      <c r="K52">
        <f>IF($G52="s-curve",$E52+($F52-$E52)*$I$2/(1+EXP($I$3*(COUNT($I$9:K$9)+$I$4))),TREND($E52:$F52,$E$9:$F$9,K$9))</f>
        <v>0.98461538461538467</v>
      </c>
      <c r="L52">
        <f>IF($G52="s-curve",$E52+($F52-$E52)*$I$2/(1+EXP($I$3*(COUNT($I$9:L$9)+$I$4))),TREND($E52:$F52,$E$9:$F$9,L$9))</f>
        <v>0.98461538461538467</v>
      </c>
      <c r="M52">
        <f>IF($G52="s-curve",$E52+($F52-$E52)*$I$2/(1+EXP($I$3*(COUNT($I$9:M$9)+$I$4))),TREND($E52:$F52,$E$9:$F$9,M$9))</f>
        <v>0.98461538461538467</v>
      </c>
      <c r="N52">
        <f>IF($G52="s-curve",$E52+($F52-$E52)*$I$2/(1+EXP($I$3*(COUNT($I$9:N$9)+$I$4))),TREND($E52:$F52,$E$9:$F$9,N$9))</f>
        <v>0.98461538461538467</v>
      </c>
      <c r="O52">
        <f>IF($G52="s-curve",$E52+($F52-$E52)*$I$2/(1+EXP($I$3*(COUNT($I$9:O$9)+$I$4))),TREND($E52:$F52,$E$9:$F$9,O$9))</f>
        <v>0.98461538461538467</v>
      </c>
      <c r="P52">
        <f>IF($G52="s-curve",$E52+($F52-$E52)*$I$2/(1+EXP($I$3*(COUNT($I$9:P$9)+$I$4))),TREND($E52:$F52,$E$9:$F$9,P$9))</f>
        <v>0.98461538461538467</v>
      </c>
      <c r="Q52">
        <f>IF($G52="s-curve",$E52+($F52-$E52)*$I$2/(1+EXP($I$3*(COUNT($I$9:Q$9)+$I$4))),TREND($E52:$F52,$E$9:$F$9,Q$9))</f>
        <v>0.98461538461538467</v>
      </c>
      <c r="R52">
        <f>IF($G52="s-curve",$E52+($F52-$E52)*$I$2/(1+EXP($I$3*(COUNT($I$9:R$9)+$I$4))),TREND($E52:$F52,$E$9:$F$9,R$9))</f>
        <v>0.98461538461538467</v>
      </c>
      <c r="S52">
        <f>IF($G52="s-curve",$E52+($F52-$E52)*$I$2/(1+EXP($I$3*(COUNT($I$9:S$9)+$I$4))),TREND($E52:$F52,$E$9:$F$9,S$9))</f>
        <v>0.98461538461538467</v>
      </c>
      <c r="T52">
        <f>IF($G52="s-curve",$E52+($F52-$E52)*$I$2/(1+EXP($I$3*(COUNT($I$9:T$9)+$I$4))),TREND($E52:$F52,$E$9:$F$9,T$9))</f>
        <v>0.98461538461538467</v>
      </c>
      <c r="U52">
        <f>IF($G52="s-curve",$E52+($F52-$E52)*$I$2/(1+EXP($I$3*(COUNT($I$9:U$9)+$I$4))),TREND($E52:$F52,$E$9:$F$9,U$9))</f>
        <v>0.98461538461538467</v>
      </c>
      <c r="V52">
        <f>IF($G52="s-curve",$E52+($F52-$E52)*$I$2/(1+EXP($I$3*(COUNT($I$9:V$9)+$I$4))),TREND($E52:$F52,$E$9:$F$9,V$9))</f>
        <v>0.98461538461538467</v>
      </c>
      <c r="W52">
        <f>IF($G52="s-curve",$E52+($F52-$E52)*$I$2/(1+EXP($I$3*(COUNT($I$9:W$9)+$I$4))),TREND($E52:$F52,$E$9:$F$9,W$9))</f>
        <v>0.98461538461538467</v>
      </c>
      <c r="X52">
        <f>IF($G52="s-curve",$E52+($F52-$E52)*$I$2/(1+EXP($I$3*(COUNT($I$9:X$9)+$I$4))),TREND($E52:$F52,$E$9:$F$9,X$9))</f>
        <v>0.98461538461538467</v>
      </c>
      <c r="Y52">
        <f>IF($G52="s-curve",$E52+($F52-$E52)*$I$2/(1+EXP($I$3*(COUNT($I$9:Y$9)+$I$4))),TREND($E52:$F52,$E$9:$F$9,Y$9))</f>
        <v>0.98461538461538467</v>
      </c>
      <c r="Z52">
        <f>IF($G52="s-curve",$E52+($F52-$E52)*$I$2/(1+EXP($I$3*(COUNT($I$9:Z$9)+$I$4))),TREND($E52:$F52,$E$9:$F$9,Z$9))</f>
        <v>0.98461538461538467</v>
      </c>
      <c r="AA52">
        <f>IF($G52="s-curve",$E52+($F52-$E52)*$I$2/(1+EXP($I$3*(COUNT($I$9:AA$9)+$I$4))),TREND($E52:$F52,$E$9:$F$9,AA$9))</f>
        <v>0.98461538461538467</v>
      </c>
      <c r="AB52">
        <f>IF($G52="s-curve",$E52+($F52-$E52)*$I$2/(1+EXP($I$3*(COUNT($I$9:AB$9)+$I$4))),TREND($E52:$F52,$E$9:$F$9,AB$9))</f>
        <v>0.98461538461538467</v>
      </c>
      <c r="AC52">
        <f>IF($G52="s-curve",$E52+($F52-$E52)*$I$2/(1+EXP($I$3*(COUNT($I$9:AC$9)+$I$4))),TREND($E52:$F52,$E$9:$F$9,AC$9))</f>
        <v>0.98461538461538467</v>
      </c>
      <c r="AD52">
        <f>IF($G52="s-curve",$E52+($F52-$E52)*$I$2/(1+EXP($I$3*(COUNT($I$9:AD$9)+$I$4))),TREND($E52:$F52,$E$9:$F$9,AD$9))</f>
        <v>0.98461538461538467</v>
      </c>
      <c r="AE52">
        <f>IF($G52="s-curve",$E52+($F52-$E52)*$I$2/(1+EXP($I$3*(COUNT($I$9:AE$9)+$I$4))),TREND($E52:$F52,$E$9:$F$9,AE$9))</f>
        <v>0.98461538461538467</v>
      </c>
      <c r="AF52">
        <f>IF($G52="s-curve",$E52+($F52-$E52)*$I$2/(1+EXP($I$3*(COUNT($I$9:AF$9)+$I$4))),TREND($E52:$F52,$E$9:$F$9,AF$9))</f>
        <v>0.98461538461538467</v>
      </c>
      <c r="AG52">
        <f>IF($G52="s-curve",$E52+($F52-$E52)*$I$2/(1+EXP($I$3*(COUNT($I$9:AG$9)+$I$4))),TREND($E52:$F52,$E$9:$F$9,AG$9))</f>
        <v>0.98461538461538467</v>
      </c>
      <c r="AH52">
        <f>IF($G52="s-curve",$E52+($F52-$E52)*$I$2/(1+EXP($I$3*(COUNT($I$9:AH$9)+$I$4))),TREND($E52:$F52,$E$9:$F$9,AH$9))</f>
        <v>0.98461538461538467</v>
      </c>
      <c r="AI52">
        <f>IF($G52="s-curve",$E52+($F52-$E52)*$I$2/(1+EXP($I$3*(COUNT($I$9:AI$9)+$I$4))),TREND($E52:$F52,$E$9:$F$9,AI$9))</f>
        <v>0.98461538461538467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1.538461538461533E-2</v>
      </c>
      <c r="F55">
        <f>E55</f>
        <v>1.538461538461533E-2</v>
      </c>
      <c r="G55" t="str">
        <f>IF(E55=F55,"n/a",IF(OR(C55="battery electric vehicle",C55="natural gas vehicle",C55="plugin hybrid vehicle"),"s-curve","linear"))</f>
        <v>n/a</v>
      </c>
      <c r="I55">
        <f t="shared" si="10"/>
        <v>1.538461538461533E-2</v>
      </c>
      <c r="J55">
        <f>IF($G55="s-curve",$E55+($F55-$E55)*$I$2/(1+EXP($I$3*(COUNT($I$9:J$9)+$I$4))),TREND($E55:$F55,$E$9:$F$9,J$9))</f>
        <v>1.538461538461533E-2</v>
      </c>
      <c r="K55">
        <f>IF($G55="s-curve",$E55+($F55-$E55)*$I$2/(1+EXP($I$3*(COUNT($I$9:K$9)+$I$4))),TREND($E55:$F55,$E$9:$F$9,K$9))</f>
        <v>1.538461538461533E-2</v>
      </c>
      <c r="L55">
        <f>IF($G55="s-curve",$E55+($F55-$E55)*$I$2/(1+EXP($I$3*(COUNT($I$9:L$9)+$I$4))),TREND($E55:$F55,$E$9:$F$9,L$9))</f>
        <v>1.538461538461533E-2</v>
      </c>
      <c r="M55">
        <f>IF($G55="s-curve",$E55+($F55-$E55)*$I$2/(1+EXP($I$3*(COUNT($I$9:M$9)+$I$4))),TREND($E55:$F55,$E$9:$F$9,M$9))</f>
        <v>1.538461538461533E-2</v>
      </c>
      <c r="N55">
        <f>IF($G55="s-curve",$E55+($F55-$E55)*$I$2/(1+EXP($I$3*(COUNT($I$9:N$9)+$I$4))),TREND($E55:$F55,$E$9:$F$9,N$9))</f>
        <v>1.538461538461533E-2</v>
      </c>
      <c r="O55">
        <f>IF($G55="s-curve",$E55+($F55-$E55)*$I$2/(1+EXP($I$3*(COUNT($I$9:O$9)+$I$4))),TREND($E55:$F55,$E$9:$F$9,O$9))</f>
        <v>1.538461538461533E-2</v>
      </c>
      <c r="P55">
        <f>IF($G55="s-curve",$E55+($F55-$E55)*$I$2/(1+EXP($I$3*(COUNT($I$9:P$9)+$I$4))),TREND($E55:$F55,$E$9:$F$9,P$9))</f>
        <v>1.538461538461533E-2</v>
      </c>
      <c r="Q55">
        <f>IF($G55="s-curve",$E55+($F55-$E55)*$I$2/(1+EXP($I$3*(COUNT($I$9:Q$9)+$I$4))),TREND($E55:$F55,$E$9:$F$9,Q$9))</f>
        <v>1.538461538461533E-2</v>
      </c>
      <c r="R55">
        <f>IF($G55="s-curve",$E55+($F55-$E55)*$I$2/(1+EXP($I$3*(COUNT($I$9:R$9)+$I$4))),TREND($E55:$F55,$E$9:$F$9,R$9))</f>
        <v>1.538461538461533E-2</v>
      </c>
      <c r="S55">
        <f>IF($G55="s-curve",$E55+($F55-$E55)*$I$2/(1+EXP($I$3*(COUNT($I$9:S$9)+$I$4))),TREND($E55:$F55,$E$9:$F$9,S$9))</f>
        <v>1.538461538461533E-2</v>
      </c>
      <c r="T55">
        <f>IF($G55="s-curve",$E55+($F55-$E55)*$I$2/(1+EXP($I$3*(COUNT($I$9:T$9)+$I$4))),TREND($E55:$F55,$E$9:$F$9,T$9))</f>
        <v>1.538461538461533E-2</v>
      </c>
      <c r="U55">
        <f>IF($G55="s-curve",$E55+($F55-$E55)*$I$2/(1+EXP($I$3*(COUNT($I$9:U$9)+$I$4))),TREND($E55:$F55,$E$9:$F$9,U$9))</f>
        <v>1.538461538461533E-2</v>
      </c>
      <c r="V55">
        <f>IF($G55="s-curve",$E55+($F55-$E55)*$I$2/(1+EXP($I$3*(COUNT($I$9:V$9)+$I$4))),TREND($E55:$F55,$E$9:$F$9,V$9))</f>
        <v>1.538461538461533E-2</v>
      </c>
      <c r="W55">
        <f>IF($G55="s-curve",$E55+($F55-$E55)*$I$2/(1+EXP($I$3*(COUNT($I$9:W$9)+$I$4))),TREND($E55:$F55,$E$9:$F$9,W$9))</f>
        <v>1.538461538461533E-2</v>
      </c>
      <c r="X55">
        <f>IF($G55="s-curve",$E55+($F55-$E55)*$I$2/(1+EXP($I$3*(COUNT($I$9:X$9)+$I$4))),TREND($E55:$F55,$E$9:$F$9,X$9))</f>
        <v>1.538461538461533E-2</v>
      </c>
      <c r="Y55">
        <f>IF($G55="s-curve",$E55+($F55-$E55)*$I$2/(1+EXP($I$3*(COUNT($I$9:Y$9)+$I$4))),TREND($E55:$F55,$E$9:$F$9,Y$9))</f>
        <v>1.538461538461533E-2</v>
      </c>
      <c r="Z55">
        <f>IF($G55="s-curve",$E55+($F55-$E55)*$I$2/(1+EXP($I$3*(COUNT($I$9:Z$9)+$I$4))),TREND($E55:$F55,$E$9:$F$9,Z$9))</f>
        <v>1.538461538461533E-2</v>
      </c>
      <c r="AA55">
        <f>IF($G55="s-curve",$E55+($F55-$E55)*$I$2/(1+EXP($I$3*(COUNT($I$9:AA$9)+$I$4))),TREND($E55:$F55,$E$9:$F$9,AA$9))</f>
        <v>1.538461538461533E-2</v>
      </c>
      <c r="AB55">
        <f>IF($G55="s-curve",$E55+($F55-$E55)*$I$2/(1+EXP($I$3*(COUNT($I$9:AB$9)+$I$4))),TREND($E55:$F55,$E$9:$F$9,AB$9))</f>
        <v>1.538461538461533E-2</v>
      </c>
      <c r="AC55">
        <f>IF($G55="s-curve",$E55+($F55-$E55)*$I$2/(1+EXP($I$3*(COUNT($I$9:AC$9)+$I$4))),TREND($E55:$F55,$E$9:$F$9,AC$9))</f>
        <v>1.538461538461533E-2</v>
      </c>
      <c r="AD55">
        <f>IF($G55="s-curve",$E55+($F55-$E55)*$I$2/(1+EXP($I$3*(COUNT($I$9:AD$9)+$I$4))),TREND($E55:$F55,$E$9:$F$9,AD$9))</f>
        <v>1.538461538461533E-2</v>
      </c>
      <c r="AE55">
        <f>IF($G55="s-curve",$E55+($F55-$E55)*$I$2/(1+EXP($I$3*(COUNT($I$9:AE$9)+$I$4))),TREND($E55:$F55,$E$9:$F$9,AE$9))</f>
        <v>1.538461538461533E-2</v>
      </c>
      <c r="AF55">
        <f>IF($G55="s-curve",$E55+($F55-$E55)*$I$2/(1+EXP($I$3*(COUNT($I$9:AF$9)+$I$4))),TREND($E55:$F55,$E$9:$F$9,AF$9))</f>
        <v>1.538461538461533E-2</v>
      </c>
      <c r="AG55">
        <f>IF($G55="s-curve",$E55+($F55-$E55)*$I$2/(1+EXP($I$3*(COUNT($I$9:AG$9)+$I$4))),TREND($E55:$F55,$E$9:$F$9,AG$9))</f>
        <v>1.538461538461533E-2</v>
      </c>
      <c r="AH55">
        <f>IF($G55="s-curve",$E55+($F55-$E55)*$I$2/(1+EXP($I$3*(COUNT($I$9:AH$9)+$I$4))),TREND($E55:$F55,$E$9:$F$9,AH$9))</f>
        <v>1.538461538461533E-2</v>
      </c>
      <c r="AI55">
        <f>IF($G55="s-curve",$E55+($F55-$E55)*$I$2/(1+EXP($I$3*(COUNT($I$9:AI$9)+$I$4))),TREND($E55:$F55,$E$9:$F$9,AI$9))</f>
        <v>1.538461538461533E-2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0.92973261140526997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0.92973261140526997</v>
      </c>
      <c r="J80" s="2">
        <f>$E80</f>
        <v>0.92973261140526997</v>
      </c>
      <c r="K80" s="2">
        <f t="shared" ref="K80:AI80" si="13">IF($G80="s-curve",$E80+($F80-$E80)*K$98,TREND($E80:$F80,$E$9:$F$9,K$9))</f>
        <v>0.93060976982010224</v>
      </c>
      <c r="L80" s="2">
        <f t="shared" si="13"/>
        <v>0.93176016788609206</v>
      </c>
      <c r="M80" s="2">
        <f t="shared" si="13"/>
        <v>0.93325476880336689</v>
      </c>
      <c r="N80" s="2">
        <f t="shared" si="13"/>
        <v>0.93517296116611648</v>
      </c>
      <c r="O80" s="2">
        <f t="shared" si="13"/>
        <v>0.93759653152173339</v>
      </c>
      <c r="P80" s="2">
        <f t="shared" si="13"/>
        <v>0.9405987396229335</v>
      </c>
      <c r="Q80" s="2">
        <f t="shared" si="13"/>
        <v>0.94422805197213366</v>
      </c>
      <c r="R80" s="2">
        <f t="shared" si="13"/>
        <v>0.94848819441962384</v>
      </c>
      <c r="S80" s="2">
        <f t="shared" si="13"/>
        <v>0.95331940519775715</v>
      </c>
      <c r="T80" s="2">
        <f t="shared" si="13"/>
        <v>0.95858869581213813</v>
      </c>
      <c r="U80" s="2">
        <f t="shared" si="13"/>
        <v>0.96409688823348827</v>
      </c>
      <c r="V80" s="2">
        <f t="shared" si="13"/>
        <v>0.96960508065483852</v>
      </c>
      <c r="W80" s="2">
        <f t="shared" si="13"/>
        <v>0.9748743712692195</v>
      </c>
      <c r="X80" s="2">
        <f t="shared" si="13"/>
        <v>0.9797055820473527</v>
      </c>
      <c r="Y80" s="2">
        <f t="shared" si="13"/>
        <v>0.98396572449484287</v>
      </c>
      <c r="Z80" s="2">
        <f t="shared" si="13"/>
        <v>0.98759503684404304</v>
      </c>
      <c r="AA80" s="2">
        <f t="shared" si="13"/>
        <v>0.99059724494524315</v>
      </c>
      <c r="AB80" s="2">
        <f t="shared" si="13"/>
        <v>0.99302081530086006</v>
      </c>
      <c r="AC80" s="2">
        <f t="shared" si="13"/>
        <v>0.99493900766360976</v>
      </c>
      <c r="AD80" s="2">
        <f t="shared" si="13"/>
        <v>0.99643360858088448</v>
      </c>
      <c r="AE80" s="2">
        <f t="shared" si="13"/>
        <v>0.9975840066468743</v>
      </c>
      <c r="AF80" s="2">
        <f t="shared" si="13"/>
        <v>0.99846116506170657</v>
      </c>
      <c r="AG80" s="2">
        <f t="shared" si="13"/>
        <v>0.99912518877874745</v>
      </c>
      <c r="AH80" s="2">
        <f t="shared" si="13"/>
        <v>0.99962513341204406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5.2021527112866645E-2</v>
      </c>
      <c r="F84">
        <f t="shared" si="12"/>
        <v>5.5953213294559254E-2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5.2021527112866645E-2</v>
      </c>
      <c r="J84" s="2">
        <f>$E84</f>
        <v>5.2021527112866645E-2</v>
      </c>
      <c r="K84" s="2">
        <f t="shared" ref="K84:AI84" si="14">IF($G84="s-curve",$E84+($F84-$E84)*K$97,TREND($E84:$F84,$E$9:$F$9,K$9))</f>
        <v>5.2033482083066365E-2</v>
      </c>
      <c r="L84" s="2">
        <f t="shared" si="14"/>
        <v>5.2049512034243024E-2</v>
      </c>
      <c r="M84" s="2">
        <f t="shared" si="14"/>
        <v>5.20709565062841E-2</v>
      </c>
      <c r="N84" s="2">
        <f t="shared" si="14"/>
        <v>5.2099556144276034E-2</v>
      </c>
      <c r="O84" s="2">
        <f t="shared" si="14"/>
        <v>5.2137542026433031E-2</v>
      </c>
      <c r="P84" s="2">
        <f t="shared" si="14"/>
        <v>5.2187720409107859E-2</v>
      </c>
      <c r="Q84" s="2">
        <f t="shared" si="14"/>
        <v>5.2253529632855268E-2</v>
      </c>
      <c r="R84" s="2">
        <f t="shared" si="14"/>
        <v>5.2339029190865555E-2</v>
      </c>
      <c r="S84" s="2">
        <f t="shared" si="14"/>
        <v>5.244876055614054E-2</v>
      </c>
      <c r="T84" s="2">
        <f t="shared" si="14"/>
        <v>5.2587402378059069E-2</v>
      </c>
      <c r="U84" s="2">
        <f t="shared" si="14"/>
        <v>5.2759145525504446E-2</v>
      </c>
      <c r="V84" s="2">
        <f t="shared" si="14"/>
        <v>5.2966762554338936E-2</v>
      </c>
      <c r="W84" s="2">
        <f t="shared" si="14"/>
        <v>5.3210466604103217E-2</v>
      </c>
      <c r="X84" s="2">
        <f t="shared" si="14"/>
        <v>5.3486838966391136E-2</v>
      </c>
      <c r="Y84" s="2">
        <f t="shared" si="14"/>
        <v>5.3788271953183898E-2</v>
      </c>
      <c r="Z84" s="2">
        <f t="shared" si="14"/>
        <v>5.4103371463707264E-2</v>
      </c>
      <c r="AA84" s="2">
        <f t="shared" si="14"/>
        <v>5.4418470974230623E-2</v>
      </c>
      <c r="AB84" s="2">
        <f t="shared" si="14"/>
        <v>5.4719903961023386E-2</v>
      </c>
      <c r="AC84" s="2">
        <f t="shared" si="14"/>
        <v>5.4996276323311305E-2</v>
      </c>
      <c r="AD84" s="2">
        <f t="shared" si="14"/>
        <v>5.5239980373075585E-2</v>
      </c>
      <c r="AE84" s="2">
        <f t="shared" si="14"/>
        <v>5.5447597401910076E-2</v>
      </c>
      <c r="AF84" s="2">
        <f t="shared" si="14"/>
        <v>5.5619340549355453E-2</v>
      </c>
      <c r="AG84" s="2">
        <f t="shared" si="14"/>
        <v>5.5757982371273981E-2</v>
      </c>
      <c r="AH84" s="2">
        <f t="shared" si="14"/>
        <v>5.5867713736548967E-2</v>
      </c>
      <c r="AI84" s="2">
        <f t="shared" si="14"/>
        <v>5.5953213294559254E-2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7.7580494932785466E-4</v>
      </c>
      <c r="F86">
        <f t="shared" si="12"/>
        <v>7.7580494932785466E-4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7.7580494932785466E-4</v>
      </c>
      <c r="J86">
        <f>IF($G86="s-curve",$E86+($F86-$E86)*$I$2/(1+EXP($I$3*(COUNT($I$9:J$9)+$I$4))),TREND($E86:$F86,$E$9:$F$9,J$9))</f>
        <v>7.7580494932785466E-4</v>
      </c>
      <c r="K86">
        <f>IF($G86="s-curve",$E86+($F86-$E86)*$I$2/(1+EXP($I$3*(COUNT($I$9:K$9)+$I$4))),TREND($E86:$F86,$E$9:$F$9,K$9))</f>
        <v>7.7580494932785466E-4</v>
      </c>
      <c r="L86">
        <f>IF($G86="s-curve",$E86+($F86-$E86)*$I$2/(1+EXP($I$3*(COUNT($I$9:L$9)+$I$4))),TREND($E86:$F86,$E$9:$F$9,L$9))</f>
        <v>7.7580494932785466E-4</v>
      </c>
      <c r="M86">
        <f>IF($G86="s-curve",$E86+($F86-$E86)*$I$2/(1+EXP($I$3*(COUNT($I$9:M$9)+$I$4))),TREND($E86:$F86,$E$9:$F$9,M$9))</f>
        <v>7.7580494932785466E-4</v>
      </c>
      <c r="N86">
        <f>IF($G86="s-curve",$E86+($F86-$E86)*$I$2/(1+EXP($I$3*(COUNT($I$9:N$9)+$I$4))),TREND($E86:$F86,$E$9:$F$9,N$9))</f>
        <v>7.7580494932785466E-4</v>
      </c>
      <c r="O86">
        <f>IF($G86="s-curve",$E86+($F86-$E86)*$I$2/(1+EXP($I$3*(COUNT($I$9:O$9)+$I$4))),TREND($E86:$F86,$E$9:$F$9,O$9))</f>
        <v>7.7580494932785466E-4</v>
      </c>
      <c r="P86">
        <f>IF($G86="s-curve",$E86+($F86-$E86)*$I$2/(1+EXP($I$3*(COUNT($I$9:P$9)+$I$4))),TREND($E86:$F86,$E$9:$F$9,P$9))</f>
        <v>7.7580494932785466E-4</v>
      </c>
      <c r="Q86">
        <f>IF($G86="s-curve",$E86+($F86-$E86)*$I$2/(1+EXP($I$3*(COUNT($I$9:Q$9)+$I$4))),TREND($E86:$F86,$E$9:$F$9,Q$9))</f>
        <v>7.7580494932785466E-4</v>
      </c>
      <c r="R86">
        <f>IF($G86="s-curve",$E86+($F86-$E86)*$I$2/(1+EXP($I$3*(COUNT($I$9:R$9)+$I$4))),TREND($E86:$F86,$E$9:$F$9,R$9))</f>
        <v>7.7580494932785466E-4</v>
      </c>
      <c r="S86">
        <f>IF($G86="s-curve",$E86+($F86-$E86)*$I$2/(1+EXP($I$3*(COUNT($I$9:S$9)+$I$4))),TREND($E86:$F86,$E$9:$F$9,S$9))</f>
        <v>7.7580494932785466E-4</v>
      </c>
      <c r="T86">
        <f>IF($G86="s-curve",$E86+($F86-$E86)*$I$2/(1+EXP($I$3*(COUNT($I$9:T$9)+$I$4))),TREND($E86:$F86,$E$9:$F$9,T$9))</f>
        <v>7.7580494932785466E-4</v>
      </c>
      <c r="U86">
        <f>IF($G86="s-curve",$E86+($F86-$E86)*$I$2/(1+EXP($I$3*(COUNT($I$9:U$9)+$I$4))),TREND($E86:$F86,$E$9:$F$9,U$9))</f>
        <v>7.7580494932785466E-4</v>
      </c>
      <c r="V86">
        <f>IF($G86="s-curve",$E86+($F86-$E86)*$I$2/(1+EXP($I$3*(COUNT($I$9:V$9)+$I$4))),TREND($E86:$F86,$E$9:$F$9,V$9))</f>
        <v>7.7580494932785466E-4</v>
      </c>
      <c r="W86">
        <f>IF($G86="s-curve",$E86+($F86-$E86)*$I$2/(1+EXP($I$3*(COUNT($I$9:W$9)+$I$4))),TREND($E86:$F86,$E$9:$F$9,W$9))</f>
        <v>7.7580494932785466E-4</v>
      </c>
      <c r="X86">
        <f>IF($G86="s-curve",$E86+($F86-$E86)*$I$2/(1+EXP($I$3*(COUNT($I$9:X$9)+$I$4))),TREND($E86:$F86,$E$9:$F$9,X$9))</f>
        <v>7.7580494932785466E-4</v>
      </c>
      <c r="Y86">
        <f>IF($G86="s-curve",$E86+($F86-$E86)*$I$2/(1+EXP($I$3*(COUNT($I$9:Y$9)+$I$4))),TREND($E86:$F86,$E$9:$F$9,Y$9))</f>
        <v>7.7580494932785466E-4</v>
      </c>
      <c r="Z86">
        <f>IF($G86="s-curve",$E86+($F86-$E86)*$I$2/(1+EXP($I$3*(COUNT($I$9:Z$9)+$I$4))),TREND($E86:$F86,$E$9:$F$9,Z$9))</f>
        <v>7.7580494932785466E-4</v>
      </c>
      <c r="AA86">
        <f>IF($G86="s-curve",$E86+($F86-$E86)*$I$2/(1+EXP($I$3*(COUNT($I$9:AA$9)+$I$4))),TREND($E86:$F86,$E$9:$F$9,AA$9))</f>
        <v>7.7580494932785466E-4</v>
      </c>
      <c r="AB86">
        <f>IF($G86="s-curve",$E86+($F86-$E86)*$I$2/(1+EXP($I$3*(COUNT($I$9:AB$9)+$I$4))),TREND($E86:$F86,$E$9:$F$9,AB$9))</f>
        <v>7.7580494932785466E-4</v>
      </c>
      <c r="AC86">
        <f>IF($G86="s-curve",$E86+($F86-$E86)*$I$2/(1+EXP($I$3*(COUNT($I$9:AC$9)+$I$4))),TREND($E86:$F86,$E$9:$F$9,AC$9))</f>
        <v>7.7580494932785466E-4</v>
      </c>
      <c r="AD86">
        <f>IF($G86="s-curve",$E86+($F86-$E86)*$I$2/(1+EXP($I$3*(COUNT($I$9:AD$9)+$I$4))),TREND($E86:$F86,$E$9:$F$9,AD$9))</f>
        <v>7.7580494932785466E-4</v>
      </c>
      <c r="AE86">
        <f>IF($G86="s-curve",$E86+($F86-$E86)*$I$2/(1+EXP($I$3*(COUNT($I$9:AE$9)+$I$4))),TREND($E86:$F86,$E$9:$F$9,AE$9))</f>
        <v>7.7580494932785466E-4</v>
      </c>
      <c r="AF86">
        <f>IF($G86="s-curve",$E86+($F86-$E86)*$I$2/(1+EXP($I$3*(COUNT($I$9:AF$9)+$I$4))),TREND($E86:$F86,$E$9:$F$9,AF$9))</f>
        <v>7.7580494932785466E-4</v>
      </c>
      <c r="AG86">
        <f>IF($G86="s-curve",$E86+($F86-$E86)*$I$2/(1+EXP($I$3*(COUNT($I$9:AG$9)+$I$4))),TREND($E86:$F86,$E$9:$F$9,AG$9))</f>
        <v>7.7580494932785466E-4</v>
      </c>
      <c r="AH86">
        <f>IF($G86="s-curve",$E86+($F86-$E86)*$I$2/(1+EXP($I$3*(COUNT($I$9:AH$9)+$I$4))),TREND($E86:$F86,$E$9:$F$9,AH$9))</f>
        <v>7.7580494932785466E-4</v>
      </c>
      <c r="AI86">
        <f>IF($G86="s-curve",$E86+($F86-$E86)*$I$2/(1+EXP($I$3*(COUNT($I$9:AI$9)+$I$4))),TREND($E86:$F86,$E$9:$F$9,AI$9))</f>
        <v>7.7580494932785466E-4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0.92973261140526997</v>
      </c>
      <c r="C2">
        <f>Data!K10</f>
        <v>0.93060976982010224</v>
      </c>
      <c r="D2">
        <f>Data!L10</f>
        <v>0.93176016788609206</v>
      </c>
      <c r="E2">
        <f>Data!M10</f>
        <v>0.93325476880336689</v>
      </c>
      <c r="F2">
        <f>Data!N10</f>
        <v>0.93517296116611648</v>
      </c>
      <c r="G2">
        <f>Data!O10</f>
        <v>0.93759653152173339</v>
      </c>
      <c r="H2">
        <f>Data!P10</f>
        <v>0.9405987396229335</v>
      </c>
      <c r="I2">
        <f>Data!Q10</f>
        <v>0.94422805197213366</v>
      </c>
      <c r="J2">
        <f>Data!R10</f>
        <v>0.94848819441962384</v>
      </c>
      <c r="K2">
        <f>Data!S10</f>
        <v>0.95331940519775715</v>
      </c>
      <c r="L2">
        <f>Data!T10</f>
        <v>0.95858869581213813</v>
      </c>
      <c r="M2">
        <f>Data!U10</f>
        <v>0.96409688823348827</v>
      </c>
      <c r="N2">
        <f>Data!V10</f>
        <v>0.96960508065483852</v>
      </c>
      <c r="O2">
        <f>Data!W10</f>
        <v>0.9748743712692195</v>
      </c>
      <c r="P2">
        <f>Data!X10</f>
        <v>0.9797055820473527</v>
      </c>
      <c r="Q2">
        <f>Data!Y10</f>
        <v>0.98396572449484287</v>
      </c>
      <c r="R2">
        <f>Data!Z10</f>
        <v>0.98759503684404304</v>
      </c>
      <c r="S2">
        <f>Data!AA10</f>
        <v>0.99059724494524315</v>
      </c>
      <c r="T2">
        <f>Data!AB10</f>
        <v>0.99302081530086006</v>
      </c>
      <c r="U2">
        <f>Data!AC10</f>
        <v>0.99493900766360976</v>
      </c>
      <c r="V2">
        <f>Data!AD10</f>
        <v>0.99643360858088448</v>
      </c>
      <c r="W2">
        <f>Data!AE10</f>
        <v>0.9975840066468743</v>
      </c>
      <c r="X2">
        <f>Data!AF10</f>
        <v>0.99846116506170657</v>
      </c>
      <c r="Y2">
        <f>Data!AG10</f>
        <v>0.99912518877874745</v>
      </c>
      <c r="Z2">
        <f>Data!AH10</f>
        <v>0.99962513341204406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5.2021527112866645E-2</v>
      </c>
      <c r="C6">
        <f>Data!K14</f>
        <v>5.2044928077650487E-2</v>
      </c>
      <c r="D6">
        <f>Data!L14</f>
        <v>5.2079326914221312E-2</v>
      </c>
      <c r="E6">
        <f>Data!M14</f>
        <v>5.2129537171693864E-2</v>
      </c>
      <c r="F6">
        <f>Data!N14</f>
        <v>5.2202077568547708E-2</v>
      </c>
      <c r="G6">
        <f>Data!O14</f>
        <v>5.2305338674078362E-2</v>
      </c>
      <c r="H6">
        <f>Data!P14</f>
        <v>5.2449274219901143E-2</v>
      </c>
      <c r="I6">
        <f>Data!Q14</f>
        <v>5.2644138050923307E-2</v>
      </c>
      <c r="J6">
        <f>Data!R14</f>
        <v>5.2897785816753209E-2</v>
      </c>
      <c r="K6">
        <f>Data!S14</f>
        <v>5.3211582926835831E-2</v>
      </c>
      <c r="L6">
        <f>Data!T14</f>
        <v>5.357626058889934E-2</v>
      </c>
      <c r="M6">
        <f>Data!U14</f>
        <v>5.3970503533982847E-2</v>
      </c>
      <c r="N6">
        <f>Data!V14</f>
        <v>5.4364746479066355E-2</v>
      </c>
      <c r="O6">
        <f>Data!W14</f>
        <v>5.472942414112987E-2</v>
      </c>
      <c r="P6">
        <f>Data!X14</f>
        <v>5.5043221251212485E-2</v>
      </c>
      <c r="Q6">
        <f>Data!Y14</f>
        <v>5.5296869017042387E-2</v>
      </c>
      <c r="R6">
        <f>Data!Z14</f>
        <v>5.5491732848064551E-2</v>
      </c>
      <c r="S6">
        <f>Data!AA14</f>
        <v>5.5635668393887332E-2</v>
      </c>
      <c r="T6">
        <f>Data!AB14</f>
        <v>5.5738929499417993E-2</v>
      </c>
      <c r="U6">
        <f>Data!AC14</f>
        <v>5.5811469896271837E-2</v>
      </c>
      <c r="V6">
        <f>Data!AD14</f>
        <v>5.5861680153744382E-2</v>
      </c>
      <c r="W6">
        <f>Data!AE14</f>
        <v>5.5896078990315214E-2</v>
      </c>
      <c r="X6">
        <f>Data!AF14</f>
        <v>5.591947995509905E-2</v>
      </c>
      <c r="Y6">
        <f>Data!AG14</f>
        <v>5.5935323008169689E-2</v>
      </c>
      <c r="Z6">
        <f>Data!AH14</f>
        <v>5.594601432919144E-2</v>
      </c>
      <c r="AA6">
        <f>Data!AI14</f>
        <v>5.5953213294559254E-2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7.7580494932785466E-4</v>
      </c>
      <c r="C8">
        <f>Data!K16</f>
        <v>7.7580494932785466E-4</v>
      </c>
      <c r="D8">
        <f>Data!L16</f>
        <v>7.7580494932785466E-4</v>
      </c>
      <c r="E8">
        <f>Data!M16</f>
        <v>7.7580494932785466E-4</v>
      </c>
      <c r="F8">
        <f>Data!N16</f>
        <v>7.7580494932785466E-4</v>
      </c>
      <c r="G8">
        <f>Data!O16</f>
        <v>7.7580494932785466E-4</v>
      </c>
      <c r="H8">
        <f>Data!P16</f>
        <v>7.7580494932785466E-4</v>
      </c>
      <c r="I8">
        <f>Data!Q16</f>
        <v>7.7580494932785466E-4</v>
      </c>
      <c r="J8">
        <f>Data!R16</f>
        <v>7.7580494932785466E-4</v>
      </c>
      <c r="K8">
        <f>Data!S16</f>
        <v>7.7580494932785466E-4</v>
      </c>
      <c r="L8">
        <f>Data!T16</f>
        <v>7.7580494932785466E-4</v>
      </c>
      <c r="M8">
        <f>Data!U16</f>
        <v>7.7580494932785466E-4</v>
      </c>
      <c r="N8">
        <f>Data!V16</f>
        <v>7.7580494932785466E-4</v>
      </c>
      <c r="O8">
        <f>Data!W16</f>
        <v>7.7580494932785466E-4</v>
      </c>
      <c r="P8">
        <f>Data!X16</f>
        <v>7.7580494932785466E-4</v>
      </c>
      <c r="Q8">
        <f>Data!Y16</f>
        <v>7.7580494932785466E-4</v>
      </c>
      <c r="R8">
        <f>Data!Z16</f>
        <v>7.7580494932785466E-4</v>
      </c>
      <c r="S8">
        <f>Data!AA16</f>
        <v>7.7580494932785466E-4</v>
      </c>
      <c r="T8">
        <f>Data!AB16</f>
        <v>7.7580494932785466E-4</v>
      </c>
      <c r="U8">
        <f>Data!AC16</f>
        <v>7.7580494932785466E-4</v>
      </c>
      <c r="V8">
        <f>Data!AD16</f>
        <v>7.7580494932785466E-4</v>
      </c>
      <c r="W8">
        <f>Data!AE16</f>
        <v>7.7580494932785466E-4</v>
      </c>
      <c r="X8">
        <f>Data!AF16</f>
        <v>7.7580494932785466E-4</v>
      </c>
      <c r="Y8">
        <f>Data!AG16</f>
        <v>7.7580494932785466E-4</v>
      </c>
      <c r="Z8">
        <f>Data!AH16</f>
        <v>7.7580494932785466E-4</v>
      </c>
      <c r="AA8">
        <f>Data!AI16</f>
        <v>7.7580494932785466E-4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0.98461538461538467</v>
      </c>
      <c r="C2">
        <f>Data!K52</f>
        <v>0.98461538461538467</v>
      </c>
      <c r="D2">
        <f>Data!L52</f>
        <v>0.98461538461538467</v>
      </c>
      <c r="E2">
        <f>Data!M52</f>
        <v>0.98461538461538467</v>
      </c>
      <c r="F2">
        <f>Data!N52</f>
        <v>0.98461538461538467</v>
      </c>
      <c r="G2">
        <f>Data!O52</f>
        <v>0.98461538461538467</v>
      </c>
      <c r="H2">
        <f>Data!P52</f>
        <v>0.98461538461538467</v>
      </c>
      <c r="I2">
        <f>Data!Q52</f>
        <v>0.98461538461538467</v>
      </c>
      <c r="J2">
        <f>Data!R52</f>
        <v>0.98461538461538467</v>
      </c>
      <c r="K2">
        <f>Data!S52</f>
        <v>0.98461538461538467</v>
      </c>
      <c r="L2">
        <f>Data!T52</f>
        <v>0.98461538461538467</v>
      </c>
      <c r="M2">
        <f>Data!U52</f>
        <v>0.98461538461538467</v>
      </c>
      <c r="N2">
        <f>Data!V52</f>
        <v>0.98461538461538467</v>
      </c>
      <c r="O2">
        <f>Data!W52</f>
        <v>0.98461538461538467</v>
      </c>
      <c r="P2">
        <f>Data!X52</f>
        <v>0.98461538461538467</v>
      </c>
      <c r="Q2">
        <f>Data!Y52</f>
        <v>0.98461538461538467</v>
      </c>
      <c r="R2">
        <f>Data!Z52</f>
        <v>0.98461538461538467</v>
      </c>
      <c r="S2">
        <f>Data!AA52</f>
        <v>0.98461538461538467</v>
      </c>
      <c r="T2">
        <f>Data!AB52</f>
        <v>0.98461538461538467</v>
      </c>
      <c r="U2">
        <f>Data!AC52</f>
        <v>0.98461538461538467</v>
      </c>
      <c r="V2">
        <f>Data!AD52</f>
        <v>0.98461538461538467</v>
      </c>
      <c r="W2">
        <f>Data!AE52</f>
        <v>0.98461538461538467</v>
      </c>
      <c r="X2">
        <f>Data!AF52</f>
        <v>0.98461538461538467</v>
      </c>
      <c r="Y2">
        <f>Data!AG52</f>
        <v>0.98461538461538467</v>
      </c>
      <c r="Z2">
        <f>Data!AH52</f>
        <v>0.98461538461538467</v>
      </c>
      <c r="AA2">
        <f>Data!AI52</f>
        <v>0.98461538461538467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1.538461538461533E-2</v>
      </c>
      <c r="C5">
        <f>Data!K55</f>
        <v>1.538461538461533E-2</v>
      </c>
      <c r="D5">
        <f>Data!L55</f>
        <v>1.538461538461533E-2</v>
      </c>
      <c r="E5">
        <f>Data!M55</f>
        <v>1.538461538461533E-2</v>
      </c>
      <c r="F5">
        <f>Data!N55</f>
        <v>1.538461538461533E-2</v>
      </c>
      <c r="G5">
        <f>Data!O55</f>
        <v>1.538461538461533E-2</v>
      </c>
      <c r="H5">
        <f>Data!P55</f>
        <v>1.538461538461533E-2</v>
      </c>
      <c r="I5">
        <f>Data!Q55</f>
        <v>1.538461538461533E-2</v>
      </c>
      <c r="J5">
        <f>Data!R55</f>
        <v>1.538461538461533E-2</v>
      </c>
      <c r="K5">
        <f>Data!S55</f>
        <v>1.538461538461533E-2</v>
      </c>
      <c r="L5">
        <f>Data!T55</f>
        <v>1.538461538461533E-2</v>
      </c>
      <c r="M5">
        <f>Data!U55</f>
        <v>1.538461538461533E-2</v>
      </c>
      <c r="N5">
        <f>Data!V55</f>
        <v>1.538461538461533E-2</v>
      </c>
      <c r="O5">
        <f>Data!W55</f>
        <v>1.538461538461533E-2</v>
      </c>
      <c r="P5">
        <f>Data!X55</f>
        <v>1.538461538461533E-2</v>
      </c>
      <c r="Q5">
        <f>Data!Y55</f>
        <v>1.538461538461533E-2</v>
      </c>
      <c r="R5">
        <f>Data!Z55</f>
        <v>1.538461538461533E-2</v>
      </c>
      <c r="S5">
        <f>Data!AA55</f>
        <v>1.538461538461533E-2</v>
      </c>
      <c r="T5">
        <f>Data!AB55</f>
        <v>1.538461538461533E-2</v>
      </c>
      <c r="U5">
        <f>Data!AC55</f>
        <v>1.538461538461533E-2</v>
      </c>
      <c r="V5">
        <f>Data!AD55</f>
        <v>1.538461538461533E-2</v>
      </c>
      <c r="W5">
        <f>Data!AE55</f>
        <v>1.538461538461533E-2</v>
      </c>
      <c r="X5">
        <f>Data!AF55</f>
        <v>1.538461538461533E-2</v>
      </c>
      <c r="Y5">
        <f>Data!AG55</f>
        <v>1.538461538461533E-2</v>
      </c>
      <c r="Z5">
        <f>Data!AH55</f>
        <v>1.538461538461533E-2</v>
      </c>
      <c r="AA5">
        <f>Data!AI55</f>
        <v>1.538461538461533E-2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0.92973261140526997</v>
      </c>
      <c r="C2">
        <f>Data!K80</f>
        <v>0.93060976982010224</v>
      </c>
      <c r="D2">
        <f>Data!L80</f>
        <v>0.93176016788609206</v>
      </c>
      <c r="E2">
        <f>Data!M80</f>
        <v>0.93325476880336689</v>
      </c>
      <c r="F2">
        <f>Data!N80</f>
        <v>0.93517296116611648</v>
      </c>
      <c r="G2">
        <f>Data!O80</f>
        <v>0.93759653152173339</v>
      </c>
      <c r="H2">
        <f>Data!P80</f>
        <v>0.9405987396229335</v>
      </c>
      <c r="I2">
        <f>Data!Q80</f>
        <v>0.94422805197213366</v>
      </c>
      <c r="J2">
        <f>Data!R80</f>
        <v>0.94848819441962384</v>
      </c>
      <c r="K2">
        <f>Data!S80</f>
        <v>0.95331940519775715</v>
      </c>
      <c r="L2">
        <f>Data!T80</f>
        <v>0.95858869581213813</v>
      </c>
      <c r="M2">
        <f>Data!U80</f>
        <v>0.96409688823348827</v>
      </c>
      <c r="N2">
        <f>Data!V80</f>
        <v>0.96960508065483852</v>
      </c>
      <c r="O2">
        <f>Data!W80</f>
        <v>0.9748743712692195</v>
      </c>
      <c r="P2">
        <f>Data!X80</f>
        <v>0.9797055820473527</v>
      </c>
      <c r="Q2">
        <f>Data!Y80</f>
        <v>0.98396572449484287</v>
      </c>
      <c r="R2">
        <f>Data!Z80</f>
        <v>0.98759503684404304</v>
      </c>
      <c r="S2">
        <f>Data!AA80</f>
        <v>0.99059724494524315</v>
      </c>
      <c r="T2">
        <f>Data!AB80</f>
        <v>0.99302081530086006</v>
      </c>
      <c r="U2">
        <f>Data!AC80</f>
        <v>0.99493900766360976</v>
      </c>
      <c r="V2">
        <f>Data!AD80</f>
        <v>0.99643360858088448</v>
      </c>
      <c r="W2">
        <f>Data!AE80</f>
        <v>0.9975840066468743</v>
      </c>
      <c r="X2">
        <f>Data!AF80</f>
        <v>0.99846116506170657</v>
      </c>
      <c r="Y2">
        <f>Data!AG80</f>
        <v>0.99912518877874745</v>
      </c>
      <c r="Z2">
        <f>Data!AH80</f>
        <v>0.99962513341204406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5.2021527112866645E-2</v>
      </c>
      <c r="C6">
        <f>Data!K84</f>
        <v>5.2033482083066365E-2</v>
      </c>
      <c r="D6">
        <f>Data!L84</f>
        <v>5.2049512034243024E-2</v>
      </c>
      <c r="E6">
        <f>Data!M84</f>
        <v>5.20709565062841E-2</v>
      </c>
      <c r="F6">
        <f>Data!N84</f>
        <v>5.2099556144276034E-2</v>
      </c>
      <c r="G6">
        <f>Data!O84</f>
        <v>5.2137542026433031E-2</v>
      </c>
      <c r="H6">
        <f>Data!P84</f>
        <v>5.2187720409107859E-2</v>
      </c>
      <c r="I6">
        <f>Data!Q84</f>
        <v>5.2253529632855268E-2</v>
      </c>
      <c r="J6">
        <f>Data!R84</f>
        <v>5.2339029190865555E-2</v>
      </c>
      <c r="K6">
        <f>Data!S84</f>
        <v>5.244876055614054E-2</v>
      </c>
      <c r="L6">
        <f>Data!T84</f>
        <v>5.2587402378059069E-2</v>
      </c>
      <c r="M6">
        <f>Data!U84</f>
        <v>5.2759145525504446E-2</v>
      </c>
      <c r="N6">
        <f>Data!V84</f>
        <v>5.2966762554338936E-2</v>
      </c>
      <c r="O6">
        <f>Data!W84</f>
        <v>5.3210466604103217E-2</v>
      </c>
      <c r="P6">
        <f>Data!X84</f>
        <v>5.3486838966391136E-2</v>
      </c>
      <c r="Q6">
        <f>Data!Y84</f>
        <v>5.3788271953183898E-2</v>
      </c>
      <c r="R6">
        <f>Data!Z84</f>
        <v>5.4103371463707264E-2</v>
      </c>
      <c r="S6">
        <f>Data!AA84</f>
        <v>5.4418470974230623E-2</v>
      </c>
      <c r="T6">
        <f>Data!AB84</f>
        <v>5.4719903961023386E-2</v>
      </c>
      <c r="U6">
        <f>Data!AC84</f>
        <v>5.4996276323311305E-2</v>
      </c>
      <c r="V6">
        <f>Data!AD84</f>
        <v>5.5239980373075585E-2</v>
      </c>
      <c r="W6">
        <f>Data!AE84</f>
        <v>5.5447597401910076E-2</v>
      </c>
      <c r="X6">
        <f>Data!AF84</f>
        <v>5.5619340549355453E-2</v>
      </c>
      <c r="Y6">
        <f>Data!AG84</f>
        <v>5.5757982371273981E-2</v>
      </c>
      <c r="Z6">
        <f>Data!AH84</f>
        <v>5.5867713736548967E-2</v>
      </c>
      <c r="AA6">
        <f>Data!AI84</f>
        <v>5.5953213294559254E-2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7.7580494932785466E-4</v>
      </c>
      <c r="C8">
        <f>Data!K86</f>
        <v>7.7580494932785466E-4</v>
      </c>
      <c r="D8">
        <f>Data!L86</f>
        <v>7.7580494932785466E-4</v>
      </c>
      <c r="E8">
        <f>Data!M86</f>
        <v>7.7580494932785466E-4</v>
      </c>
      <c r="F8">
        <f>Data!N86</f>
        <v>7.7580494932785466E-4</v>
      </c>
      <c r="G8">
        <f>Data!O86</f>
        <v>7.7580494932785466E-4</v>
      </c>
      <c r="H8">
        <f>Data!P86</f>
        <v>7.7580494932785466E-4</v>
      </c>
      <c r="I8">
        <f>Data!Q86</f>
        <v>7.7580494932785466E-4</v>
      </c>
      <c r="J8">
        <f>Data!R86</f>
        <v>7.7580494932785466E-4</v>
      </c>
      <c r="K8">
        <f>Data!S86</f>
        <v>7.7580494932785466E-4</v>
      </c>
      <c r="L8">
        <f>Data!T86</f>
        <v>7.7580494932785466E-4</v>
      </c>
      <c r="M8">
        <f>Data!U86</f>
        <v>7.7580494932785466E-4</v>
      </c>
      <c r="N8">
        <f>Data!V86</f>
        <v>7.7580494932785466E-4</v>
      </c>
      <c r="O8">
        <f>Data!W86</f>
        <v>7.7580494932785466E-4</v>
      </c>
      <c r="P8">
        <f>Data!X86</f>
        <v>7.7580494932785466E-4</v>
      </c>
      <c r="Q8">
        <f>Data!Y86</f>
        <v>7.7580494932785466E-4</v>
      </c>
      <c r="R8">
        <f>Data!Z86</f>
        <v>7.7580494932785466E-4</v>
      </c>
      <c r="S8">
        <f>Data!AA86</f>
        <v>7.7580494932785466E-4</v>
      </c>
      <c r="T8">
        <f>Data!AB86</f>
        <v>7.7580494932785466E-4</v>
      </c>
      <c r="U8">
        <f>Data!AC86</f>
        <v>7.7580494932785466E-4</v>
      </c>
      <c r="V8">
        <f>Data!AD86</f>
        <v>7.7580494932785466E-4</v>
      </c>
      <c r="W8">
        <f>Data!AE86</f>
        <v>7.7580494932785466E-4</v>
      </c>
      <c r="X8">
        <f>Data!AF86</f>
        <v>7.7580494932785466E-4</v>
      </c>
      <c r="Y8">
        <f>Data!AG86</f>
        <v>7.7580494932785466E-4</v>
      </c>
      <c r="Z8">
        <f>Data!AH86</f>
        <v>7.7580494932785466E-4</v>
      </c>
      <c r="AA8">
        <f>Data!AI86</f>
        <v>7.7580494932785466E-4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2026-08-03T19:41:43Z</dcterms:modified>
</cp:coreProperties>
</file>